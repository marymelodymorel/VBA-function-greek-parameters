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npparibas-my.sharepoint.com/personal/marymelody_morel_bnpparibas_com/Documents/VBA/"/>
    </mc:Choice>
  </mc:AlternateContent>
  <xr:revisionPtr revIDLastSave="988" documentId="8_{1E221747-E281-4C42-B28A-878F197E5199}" xr6:coauthVersionLast="47" xr6:coauthVersionMax="47" xr10:uidLastSave="{8F985842-A0EC-45B1-BFCF-AB5A7C2CE0C6}"/>
  <bookViews>
    <workbookView xWindow="-110" yWindow="-110" windowWidth="19420" windowHeight="10300" xr2:uid="{27E1F23C-DCC1-42B3-A294-C64ECB42F465}"/>
  </bookViews>
  <sheets>
    <sheet name="Options CAC 40 stocks" sheetId="1" r:id="rId1"/>
  </sheets>
  <functionGroups builtInGroupCount="19"/>
  <definedNames>
    <definedName name="_xlnm._FilterDatabase" localSheetId="0" hidden="1">'Options CAC 40 stocks'!$A$7:$D$7</definedName>
    <definedName name="_xleta.LOG" hidden="1" xlm="1">#NAME?</definedName>
    <definedName name="_xleta.RAND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1" l="1" a="1"/>
  <c r="O13" i="1" a="1"/>
  <c r="O17" i="1" a="1"/>
  <c r="O21" i="1" a="1"/>
  <c r="O25" i="1" a="1"/>
  <c r="O29" i="1" a="1"/>
  <c r="O33" i="1" a="1"/>
  <c r="O37" i="1" a="1"/>
  <c r="O41" i="1" a="1"/>
  <c r="O14" i="1" a="1"/>
  <c r="O22" i="1" a="1"/>
  <c r="O30" i="1" a="1"/>
  <c r="O38" i="1" a="1"/>
  <c r="O46" i="1" a="1"/>
  <c r="O10" i="1" a="1"/>
  <c r="O18" i="1" a="1"/>
  <c r="O26" i="1" a="1"/>
  <c r="O34" i="1" a="1"/>
  <c r="O42" i="1" a="1"/>
  <c r="O15" i="1" a="1"/>
  <c r="O19" i="1" a="1"/>
  <c r="O23" i="1" a="1"/>
  <c r="O31" i="1" a="1"/>
  <c r="O35" i="1" a="1"/>
  <c r="O43" i="1" a="1"/>
  <c r="O47" i="1" a="1"/>
  <c r="O11" i="1" a="1"/>
  <c r="O27" i="1" a="1"/>
  <c r="O39" i="1" a="1"/>
  <c r="O12" i="1" a="1"/>
  <c r="O16" i="1" a="1"/>
  <c r="O20" i="1" a="1"/>
  <c r="O24" i="1" a="1"/>
  <c r="O28" i="1" a="1"/>
  <c r="O32" i="1" a="1"/>
  <c r="O36" i="1" a="1"/>
  <c r="O40" i="1" a="1"/>
  <c r="O44" i="1" a="1"/>
  <c r="O45" i="1" a="1"/>
  <c r="O8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38" i="1" a="1"/>
  <c r="I46" i="1" a="1"/>
  <c r="I20" i="1" a="1"/>
  <c r="I44" i="1" a="1"/>
  <c r="I40" i="1" a="1"/>
  <c r="I10" i="1" a="1"/>
  <c r="I14" i="1" a="1"/>
  <c r="I18" i="1" a="1"/>
  <c r="I22" i="1" a="1"/>
  <c r="I26" i="1" a="1"/>
  <c r="I30" i="1" a="1"/>
  <c r="I34" i="1" a="1"/>
  <c r="I42" i="1" a="1"/>
  <c r="I28" i="1" a="1"/>
  <c r="I24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12" i="1" a="1"/>
  <c r="I16" i="1" a="1"/>
  <c r="I32" i="1" a="1"/>
  <c r="I36" i="1" a="1"/>
  <c r="I8" i="1" a="1"/>
  <c r="N9" i="1" a="1"/>
  <c r="N13" i="1" a="1"/>
  <c r="N17" i="1" a="1"/>
  <c r="N21" i="1" a="1"/>
  <c r="N25" i="1" a="1"/>
  <c r="N29" i="1" a="1"/>
  <c r="N33" i="1" a="1"/>
  <c r="N37" i="1" a="1"/>
  <c r="N41" i="1" a="1"/>
  <c r="N45" i="1" a="1"/>
  <c r="N14" i="1" a="1"/>
  <c r="N22" i="1" a="1"/>
  <c r="N26" i="1" a="1"/>
  <c r="N30" i="1" a="1"/>
  <c r="N34" i="1" a="1"/>
  <c r="N42" i="1" a="1"/>
  <c r="N46" i="1" a="1"/>
  <c r="N19" i="1" a="1"/>
  <c r="N27" i="1" a="1"/>
  <c r="N35" i="1" a="1"/>
  <c r="N43" i="1" a="1"/>
  <c r="N12" i="1" a="1"/>
  <c r="N20" i="1" a="1"/>
  <c r="N32" i="1" a="1"/>
  <c r="N40" i="1" a="1"/>
  <c r="N18" i="1" a="1"/>
  <c r="N28" i="1" a="1"/>
  <c r="N10" i="1" a="1"/>
  <c r="N38" i="1" a="1"/>
  <c r="N11" i="1" a="1"/>
  <c r="N15" i="1" a="1"/>
  <c r="N23" i="1" a="1"/>
  <c r="N31" i="1" a="1"/>
  <c r="N39" i="1" a="1"/>
  <c r="N47" i="1" a="1"/>
  <c r="N16" i="1" a="1"/>
  <c r="N24" i="1" a="1"/>
  <c r="N36" i="1" a="1"/>
  <c r="N44" i="1" a="1"/>
  <c r="N8" i="1" a="1"/>
  <c r="H10" i="1" a="1"/>
  <c r="H18" i="1" a="1"/>
  <c r="H22" i="1" a="1"/>
  <c r="H26" i="1" a="1"/>
  <c r="H30" i="1" a="1"/>
  <c r="H34" i="1" a="1"/>
  <c r="H38" i="1" a="1"/>
  <c r="H46" i="1" a="1"/>
  <c r="H15" i="1" a="1"/>
  <c r="H23" i="1" a="1"/>
  <c r="H35" i="1" a="1"/>
  <c r="H47" i="1" a="1"/>
  <c r="H24" i="1" a="1"/>
  <c r="H36" i="1" a="1"/>
  <c r="H13" i="1" a="1"/>
  <c r="H25" i="1" a="1"/>
  <c r="H37" i="1" a="1"/>
  <c r="H14" i="1" a="1"/>
  <c r="H42" i="1" a="1"/>
  <c r="H19" i="1" a="1"/>
  <c r="H27" i="1" a="1"/>
  <c r="H39" i="1" a="1"/>
  <c r="H16" i="1" a="1"/>
  <c r="H20" i="1" a="1"/>
  <c r="H32" i="1" a="1"/>
  <c r="H44" i="1" a="1"/>
  <c r="H17" i="1" a="1"/>
  <c r="H29" i="1" a="1"/>
  <c r="H45" i="1" a="1"/>
  <c r="H11" i="1" a="1"/>
  <c r="H31" i="1" a="1"/>
  <c r="H43" i="1" a="1"/>
  <c r="H12" i="1" a="1"/>
  <c r="H28" i="1" a="1"/>
  <c r="H40" i="1" a="1"/>
  <c r="H9" i="1" a="1"/>
  <c r="H21" i="1" a="1"/>
  <c r="H33" i="1" a="1"/>
  <c r="H41" i="1" a="1"/>
  <c r="H8" i="1" a="1"/>
  <c r="M9" i="1" a="1"/>
  <c r="M13" i="1" a="1"/>
  <c r="M17" i="1" a="1"/>
  <c r="M21" i="1" a="1"/>
  <c r="M25" i="1" a="1"/>
  <c r="M29" i="1" a="1"/>
  <c r="M33" i="1" a="1"/>
  <c r="M37" i="1" a="1"/>
  <c r="M41" i="1" a="1"/>
  <c r="M45" i="1" a="1"/>
  <c r="M11" i="1" a="1"/>
  <c r="M23" i="1" a="1"/>
  <c r="M31" i="1" a="1"/>
  <c r="M39" i="1" a="1"/>
  <c r="M47" i="1" a="1"/>
  <c r="M16" i="1" a="1"/>
  <c r="M20" i="1" a="1"/>
  <c r="M28" i="1" a="1"/>
  <c r="M19" i="1" a="1"/>
  <c r="M10" i="1" a="1"/>
  <c r="M14" i="1" a="1"/>
  <c r="M18" i="1" a="1"/>
  <c r="M22" i="1" a="1"/>
  <c r="M26" i="1" a="1"/>
  <c r="M30" i="1" a="1"/>
  <c r="M34" i="1" a="1"/>
  <c r="M38" i="1" a="1"/>
  <c r="M42" i="1" a="1"/>
  <c r="M46" i="1" a="1"/>
  <c r="M15" i="1" a="1"/>
  <c r="M27" i="1" a="1"/>
  <c r="M35" i="1" a="1"/>
  <c r="M43" i="1" a="1"/>
  <c r="M12" i="1" a="1"/>
  <c r="M24" i="1" a="1"/>
  <c r="M32" i="1" a="1"/>
  <c r="M36" i="1" a="1"/>
  <c r="M40" i="1" a="1"/>
  <c r="M44" i="1" a="1"/>
  <c r="M8" i="1" a="1"/>
  <c r="L9" i="1" a="1"/>
  <c r="L13" i="1" a="1"/>
  <c r="L17" i="1" a="1"/>
  <c r="L21" i="1" a="1"/>
  <c r="L25" i="1" a="1"/>
  <c r="L29" i="1" a="1"/>
  <c r="L33" i="1" a="1"/>
  <c r="L37" i="1" a="1"/>
  <c r="L41" i="1" a="1"/>
  <c r="L45" i="1" a="1"/>
  <c r="L42" i="1" a="1"/>
  <c r="L24" i="1" a="1"/>
  <c r="L10" i="1" a="1"/>
  <c r="L14" i="1" a="1"/>
  <c r="L18" i="1" a="1"/>
  <c r="L22" i="1" a="1"/>
  <c r="L26" i="1" a="1"/>
  <c r="L30" i="1" a="1"/>
  <c r="L34" i="1" a="1"/>
  <c r="L38" i="1" a="1"/>
  <c r="L46" i="1" a="1"/>
  <c r="L15" i="1" a="1"/>
  <c r="L23" i="1" a="1"/>
  <c r="L27" i="1" a="1"/>
  <c r="L31" i="1" a="1"/>
  <c r="L35" i="1" a="1"/>
  <c r="L39" i="1" a="1"/>
  <c r="L43" i="1" a="1"/>
  <c r="L47" i="1" a="1"/>
  <c r="L12" i="1" a="1"/>
  <c r="L20" i="1" a="1"/>
  <c r="L32" i="1" a="1"/>
  <c r="L40" i="1" a="1"/>
  <c r="L19" i="1" a="1"/>
  <c r="L16" i="1" a="1"/>
  <c r="L36" i="1" a="1"/>
  <c r="L44" i="1" a="1"/>
  <c r="L11" i="1" a="1"/>
  <c r="L28" i="1" a="1"/>
  <c r="L8" i="1" a="1"/>
  <c r="K9" i="1" a="1"/>
  <c r="K13" i="1" a="1"/>
  <c r="K17" i="1" a="1"/>
  <c r="K21" i="1" a="1"/>
  <c r="K25" i="1" a="1"/>
  <c r="K29" i="1" a="1"/>
  <c r="K33" i="1" a="1"/>
  <c r="K37" i="1" a="1"/>
  <c r="K41" i="1" a="1"/>
  <c r="K45" i="1" a="1"/>
  <c r="K42" i="1" a="1"/>
  <c r="K11" i="1" a="1"/>
  <c r="K19" i="1" a="1"/>
  <c r="K23" i="1" a="1"/>
  <c r="K31" i="1" a="1"/>
  <c r="K35" i="1" a="1"/>
  <c r="K43" i="1" a="1"/>
  <c r="K47" i="1" a="1"/>
  <c r="K12" i="1" a="1"/>
  <c r="K28" i="1" a="1"/>
  <c r="K36" i="1" a="1"/>
  <c r="K40" i="1" a="1"/>
  <c r="K30" i="1" a="1"/>
  <c r="K24" i="1" a="1"/>
  <c r="K10" i="1" a="1"/>
  <c r="K14" i="1" a="1"/>
  <c r="K18" i="1" a="1"/>
  <c r="K22" i="1" a="1"/>
  <c r="K26" i="1" a="1"/>
  <c r="K34" i="1" a="1"/>
  <c r="K38" i="1" a="1"/>
  <c r="K46" i="1" a="1"/>
  <c r="K15" i="1" a="1"/>
  <c r="K27" i="1" a="1"/>
  <c r="K39" i="1" a="1"/>
  <c r="K16" i="1" a="1"/>
  <c r="K32" i="1" a="1"/>
  <c r="K44" i="1" a="1"/>
  <c r="K20" i="1" a="1"/>
  <c r="K8" i="1" a="1"/>
  <c r="J9" i="1" a="1"/>
  <c r="J13" i="1" a="1"/>
  <c r="J17" i="1" a="1"/>
  <c r="J21" i="1" a="1"/>
  <c r="J25" i="1" a="1"/>
  <c r="J29" i="1" a="1"/>
  <c r="J33" i="1" a="1"/>
  <c r="J37" i="1" a="1"/>
  <c r="J41" i="1" a="1"/>
  <c r="J45" i="1" a="1"/>
  <c r="J22" i="1" a="1"/>
  <c r="J30" i="1" a="1"/>
  <c r="J38" i="1" a="1"/>
  <c r="J46" i="1" a="1"/>
  <c r="J15" i="1" a="1"/>
  <c r="J23" i="1" a="1"/>
  <c r="J31" i="1" a="1"/>
  <c r="J43" i="1" a="1"/>
  <c r="J16" i="1" a="1"/>
  <c r="J32" i="1" a="1"/>
  <c r="J10" i="1" a="1"/>
  <c r="J14" i="1" a="1"/>
  <c r="J18" i="1" a="1"/>
  <c r="J26" i="1" a="1"/>
  <c r="J34" i="1" a="1"/>
  <c r="J42" i="1" a="1"/>
  <c r="J19" i="1" a="1"/>
  <c r="J27" i="1" a="1"/>
  <c r="J35" i="1" a="1"/>
  <c r="J47" i="1" a="1"/>
  <c r="J20" i="1" a="1"/>
  <c r="J28" i="1" a="1"/>
  <c r="J40" i="1" a="1"/>
  <c r="J44" i="1" a="1"/>
  <c r="J11" i="1" a="1"/>
  <c r="J39" i="1" a="1"/>
  <c r="J12" i="1" a="1"/>
  <c r="J24" i="1" a="1"/>
  <c r="J36" i="1" a="1"/>
  <c r="J8" i="1" a="1"/>
  <c r="G9" i="1" a="1"/>
  <c r="G13" i="1" a="1"/>
  <c r="G17" i="1" a="1"/>
  <c r="G21" i="1" a="1"/>
  <c r="G25" i="1" a="1"/>
  <c r="G29" i="1" a="1"/>
  <c r="G33" i="1" a="1"/>
  <c r="G37" i="1" a="1"/>
  <c r="G41" i="1" a="1"/>
  <c r="G45" i="1" a="1"/>
  <c r="G10" i="1" a="1"/>
  <c r="G14" i="1" a="1"/>
  <c r="G18" i="1" a="1"/>
  <c r="G22" i="1" a="1"/>
  <c r="G26" i="1" a="1"/>
  <c r="G30" i="1" a="1"/>
  <c r="G34" i="1" a="1"/>
  <c r="G38" i="1" a="1"/>
  <c r="G42" i="1" a="1"/>
  <c r="G46" i="1" a="1"/>
  <c r="G11" i="1" a="1"/>
  <c r="G15" i="1" a="1"/>
  <c r="G19" i="1" a="1"/>
  <c r="G23" i="1" a="1"/>
  <c r="G27" i="1" a="1"/>
  <c r="G31" i="1" a="1"/>
  <c r="G35" i="1" a="1"/>
  <c r="G39" i="1" a="1"/>
  <c r="G43" i="1" a="1"/>
  <c r="G47" i="1" a="1"/>
  <c r="G12" i="1" a="1"/>
  <c r="G16" i="1" a="1"/>
  <c r="G24" i="1" a="1"/>
  <c r="G28" i="1" a="1"/>
  <c r="G32" i="1" a="1"/>
  <c r="G36" i="1" a="1"/>
  <c r="G40" i="1" a="1"/>
  <c r="G44" i="1" a="1"/>
  <c r="G20" i="1" a="1"/>
  <c r="G8" i="1" a="1"/>
  <c r="F9" i="1" a="1"/>
  <c r="F13" i="1" a="1"/>
  <c r="F17" i="1" a="1"/>
  <c r="F21" i="1" a="1"/>
  <c r="F25" i="1" a="1"/>
  <c r="F29" i="1" a="1"/>
  <c r="F33" i="1" a="1"/>
  <c r="F37" i="1" a="1"/>
  <c r="F41" i="1" a="1"/>
  <c r="F45" i="1" a="1"/>
  <c r="F14" i="1" a="1"/>
  <c r="F18" i="1" a="1"/>
  <c r="F26" i="1" a="1"/>
  <c r="F30" i="1" a="1"/>
  <c r="F38" i="1" a="1"/>
  <c r="F42" i="1" a="1"/>
  <c r="F46" i="1" a="1"/>
  <c r="F35" i="1" a="1"/>
  <c r="F47" i="1" a="1"/>
  <c r="F16" i="1" a="1"/>
  <c r="F24" i="1" a="1"/>
  <c r="F44" i="1" a="1"/>
  <c r="F10" i="1" a="1"/>
  <c r="F22" i="1" a="1"/>
  <c r="F34" i="1" a="1"/>
  <c r="F39" i="1" a="1"/>
  <c r="F20" i="1" a="1"/>
  <c r="F32" i="1" a="1"/>
  <c r="F40" i="1" a="1"/>
  <c r="F11" i="1" a="1"/>
  <c r="F15" i="1" a="1"/>
  <c r="F19" i="1" a="1"/>
  <c r="F23" i="1" a="1"/>
  <c r="F27" i="1" a="1"/>
  <c r="F31" i="1" a="1"/>
  <c r="F43" i="1" a="1"/>
  <c r="F12" i="1" a="1"/>
  <c r="F28" i="1" a="1"/>
  <c r="F36" i="1" a="1"/>
  <c r="F8" i="1" a="1"/>
  <c r="E9" i="1" a="1"/>
  <c r="E13" i="1" a="1"/>
  <c r="E17" i="1" a="1"/>
  <c r="E21" i="1" a="1"/>
  <c r="E25" i="1" a="1"/>
  <c r="E29" i="1" a="1"/>
  <c r="E33" i="1" a="1"/>
  <c r="E37" i="1" a="1"/>
  <c r="E41" i="1" a="1"/>
  <c r="E45" i="1" a="1"/>
  <c r="E14" i="1" a="1"/>
  <c r="E22" i="1" a="1"/>
  <c r="E26" i="1" a="1"/>
  <c r="E30" i="1" a="1"/>
  <c r="E38" i="1" a="1"/>
  <c r="E42" i="1" a="1"/>
  <c r="E23" i="1" a="1"/>
  <c r="E39" i="1" a="1"/>
  <c r="E47" i="1" a="1"/>
  <c r="E18" i="1" a="1"/>
  <c r="E15" i="1" a="1"/>
  <c r="E35" i="1" a="1"/>
  <c r="E36" i="1" a="1"/>
  <c r="E10" i="1" a="1"/>
  <c r="E34" i="1" a="1"/>
  <c r="E46" i="1" a="1"/>
  <c r="E19" i="1" a="1"/>
  <c r="E31" i="1" a="1"/>
  <c r="E43" i="1" a="1"/>
  <c r="E44" i="1" a="1"/>
  <c r="E11" i="1" a="1"/>
  <c r="E27" i="1" a="1"/>
  <c r="E12" i="1" a="1"/>
  <c r="E16" i="1" a="1"/>
  <c r="E20" i="1" a="1"/>
  <c r="E24" i="1" a="1"/>
  <c r="E28" i="1" a="1"/>
  <c r="E32" i="1" a="1"/>
  <c r="E40" i="1" a="1"/>
  <c r="E8" i="1" a="1"/>
  <c r="D9" i="1" a="1"/>
  <c r="D13" i="1" a="1"/>
  <c r="D17" i="1" a="1"/>
  <c r="D21" i="1" a="1"/>
  <c r="D25" i="1" a="1"/>
  <c r="D29" i="1" a="1"/>
  <c r="D33" i="1" a="1"/>
  <c r="D37" i="1" a="1"/>
  <c r="D41" i="1" a="1"/>
  <c r="D45" i="1" a="1"/>
  <c r="D27" i="1" a="1"/>
  <c r="D35" i="1" a="1"/>
  <c r="D32" i="1" a="1"/>
  <c r="D44" i="1" a="1"/>
  <c r="D23" i="1" a="1"/>
  <c r="D10" i="1" a="1"/>
  <c r="D14" i="1" a="1"/>
  <c r="D18" i="1" a="1"/>
  <c r="D22" i="1" a="1"/>
  <c r="D26" i="1" a="1"/>
  <c r="D30" i="1" a="1"/>
  <c r="D34" i="1" a="1"/>
  <c r="D38" i="1" a="1"/>
  <c r="D42" i="1" a="1"/>
  <c r="D46" i="1" a="1"/>
  <c r="D19" i="1" a="1"/>
  <c r="D31" i="1" a="1"/>
  <c r="D39" i="1" a="1"/>
  <c r="D47" i="1" a="1"/>
  <c r="D28" i="1" a="1"/>
  <c r="D40" i="1" a="1"/>
  <c r="D15" i="1" a="1"/>
  <c r="D43" i="1" a="1"/>
  <c r="D36" i="1" a="1"/>
  <c r="D11" i="1" a="1"/>
  <c r="D12" i="1" a="1"/>
  <c r="D16" i="1" a="1"/>
  <c r="D20" i="1" a="1"/>
  <c r="D24" i="1" a="1"/>
  <c r="D8" i="1" a="1"/>
  <c r="O45" i="1" l="1"/>
  <c r="O44" i="1"/>
  <c r="O40" i="1"/>
  <c r="O36" i="1"/>
  <c r="O32" i="1"/>
  <c r="O28" i="1"/>
  <c r="O24" i="1"/>
  <c r="O20" i="1"/>
  <c r="O16" i="1"/>
  <c r="O12" i="1"/>
  <c r="O39" i="1"/>
  <c r="O27" i="1"/>
  <c r="O11" i="1"/>
  <c r="O47" i="1"/>
  <c r="O43" i="1"/>
  <c r="O35" i="1"/>
  <c r="O31" i="1"/>
  <c r="O23" i="1"/>
  <c r="O19" i="1"/>
  <c r="O15" i="1"/>
  <c r="O42" i="1"/>
  <c r="O34" i="1"/>
  <c r="O26" i="1"/>
  <c r="O18" i="1"/>
  <c r="O10" i="1"/>
  <c r="O46" i="1"/>
  <c r="O38" i="1"/>
  <c r="O30" i="1"/>
  <c r="O22" i="1"/>
  <c r="O14" i="1"/>
  <c r="O41" i="1"/>
  <c r="O37" i="1"/>
  <c r="O33" i="1"/>
  <c r="O29" i="1"/>
  <c r="O25" i="1"/>
  <c r="O21" i="1"/>
  <c r="O17" i="1"/>
  <c r="O13" i="1"/>
  <c r="O9" i="1"/>
  <c r="O8" i="1"/>
  <c r="I36" i="1"/>
  <c r="I32" i="1"/>
  <c r="I16" i="1"/>
  <c r="I12" i="1"/>
  <c r="I47" i="1"/>
  <c r="I43" i="1"/>
  <c r="I39" i="1"/>
  <c r="I35" i="1"/>
  <c r="I31" i="1"/>
  <c r="I27" i="1"/>
  <c r="I23" i="1"/>
  <c r="I19" i="1"/>
  <c r="I15" i="1"/>
  <c r="I11" i="1"/>
  <c r="I24" i="1"/>
  <c r="I28" i="1"/>
  <c r="I42" i="1"/>
  <c r="I34" i="1"/>
  <c r="I30" i="1"/>
  <c r="I26" i="1"/>
  <c r="I22" i="1"/>
  <c r="I18" i="1"/>
  <c r="I14" i="1"/>
  <c r="I10" i="1"/>
  <c r="I40" i="1"/>
  <c r="I44" i="1"/>
  <c r="I20" i="1"/>
  <c r="I46" i="1"/>
  <c r="I38" i="1"/>
  <c r="I45" i="1"/>
  <c r="I41" i="1"/>
  <c r="I37" i="1"/>
  <c r="I33" i="1"/>
  <c r="I29" i="1"/>
  <c r="I25" i="1"/>
  <c r="I21" i="1"/>
  <c r="I17" i="1"/>
  <c r="I13" i="1"/>
  <c r="I9" i="1"/>
  <c r="I8" i="1"/>
  <c r="N44" i="1"/>
  <c r="N36" i="1"/>
  <c r="N24" i="1"/>
  <c r="N16" i="1"/>
  <c r="N47" i="1"/>
  <c r="N39" i="1"/>
  <c r="N31" i="1"/>
  <c r="N23" i="1"/>
  <c r="N15" i="1"/>
  <c r="N11" i="1"/>
  <c r="N38" i="1"/>
  <c r="N10" i="1"/>
  <c r="N28" i="1"/>
  <c r="N18" i="1"/>
  <c r="N40" i="1"/>
  <c r="N32" i="1"/>
  <c r="N20" i="1"/>
  <c r="N12" i="1"/>
  <c r="N43" i="1"/>
  <c r="N35" i="1"/>
  <c r="N27" i="1"/>
  <c r="N19" i="1"/>
  <c r="N46" i="1"/>
  <c r="N42" i="1"/>
  <c r="N34" i="1"/>
  <c r="N30" i="1"/>
  <c r="N26" i="1"/>
  <c r="N22" i="1"/>
  <c r="N14" i="1"/>
  <c r="N45" i="1"/>
  <c r="N41" i="1"/>
  <c r="N37" i="1"/>
  <c r="N33" i="1"/>
  <c r="N29" i="1"/>
  <c r="N25" i="1"/>
  <c r="N21" i="1"/>
  <c r="N17" i="1"/>
  <c r="N13" i="1"/>
  <c r="N9" i="1"/>
  <c r="N8" i="1"/>
  <c r="H41" i="1"/>
  <c r="H33" i="1"/>
  <c r="H21" i="1"/>
  <c r="H9" i="1"/>
  <c r="H40" i="1"/>
  <c r="H28" i="1"/>
  <c r="H12" i="1"/>
  <c r="H43" i="1"/>
  <c r="H31" i="1"/>
  <c r="H11" i="1"/>
  <c r="H45" i="1"/>
  <c r="H29" i="1"/>
  <c r="H17" i="1"/>
  <c r="H44" i="1"/>
  <c r="H32" i="1"/>
  <c r="H20" i="1"/>
  <c r="H16" i="1"/>
  <c r="H39" i="1"/>
  <c r="H27" i="1"/>
  <c r="H19" i="1"/>
  <c r="H42" i="1"/>
  <c r="H14" i="1"/>
  <c r="H37" i="1"/>
  <c r="H25" i="1"/>
  <c r="H13" i="1"/>
  <c r="H36" i="1"/>
  <c r="H24" i="1"/>
  <c r="H47" i="1"/>
  <c r="H35" i="1"/>
  <c r="H23" i="1"/>
  <c r="H15" i="1"/>
  <c r="H46" i="1"/>
  <c r="H38" i="1"/>
  <c r="H34" i="1"/>
  <c r="H30" i="1"/>
  <c r="H26" i="1"/>
  <c r="H22" i="1"/>
  <c r="H18" i="1"/>
  <c r="H10" i="1"/>
  <c r="H8" i="1"/>
  <c r="M44" i="1"/>
  <c r="M40" i="1"/>
  <c r="M36" i="1"/>
  <c r="M32" i="1"/>
  <c r="M24" i="1"/>
  <c r="M12" i="1"/>
  <c r="M43" i="1"/>
  <c r="M35" i="1"/>
  <c r="M27" i="1"/>
  <c r="M15" i="1"/>
  <c r="M46" i="1"/>
  <c r="M42" i="1"/>
  <c r="M38" i="1"/>
  <c r="M34" i="1"/>
  <c r="M30" i="1"/>
  <c r="M26" i="1"/>
  <c r="M22" i="1"/>
  <c r="M18" i="1"/>
  <c r="M14" i="1"/>
  <c r="M10" i="1"/>
  <c r="M19" i="1"/>
  <c r="M28" i="1"/>
  <c r="M20" i="1"/>
  <c r="M16" i="1"/>
  <c r="M47" i="1"/>
  <c r="M39" i="1"/>
  <c r="M31" i="1"/>
  <c r="M23" i="1"/>
  <c r="M11" i="1"/>
  <c r="M45" i="1"/>
  <c r="M41" i="1"/>
  <c r="M37" i="1"/>
  <c r="M33" i="1"/>
  <c r="M29" i="1"/>
  <c r="M25" i="1"/>
  <c r="M21" i="1"/>
  <c r="M17" i="1"/>
  <c r="M13" i="1"/>
  <c r="M9" i="1"/>
  <c r="M8" i="1"/>
  <c r="L28" i="1"/>
  <c r="L11" i="1"/>
  <c r="L44" i="1"/>
  <c r="L36" i="1"/>
  <c r="L16" i="1"/>
  <c r="L19" i="1"/>
  <c r="L40" i="1"/>
  <c r="L32" i="1"/>
  <c r="L20" i="1"/>
  <c r="L12" i="1"/>
  <c r="L47" i="1"/>
  <c r="L43" i="1"/>
  <c r="L39" i="1"/>
  <c r="L35" i="1"/>
  <c r="L31" i="1"/>
  <c r="L27" i="1"/>
  <c r="L23" i="1"/>
  <c r="L15" i="1"/>
  <c r="L46" i="1"/>
  <c r="L38" i="1"/>
  <c r="L34" i="1"/>
  <c r="L30" i="1"/>
  <c r="L26" i="1"/>
  <c r="L22" i="1"/>
  <c r="L18" i="1"/>
  <c r="L14" i="1"/>
  <c r="L10" i="1"/>
  <c r="L24" i="1"/>
  <c r="L42" i="1"/>
  <c r="L45" i="1"/>
  <c r="L41" i="1"/>
  <c r="L37" i="1"/>
  <c r="L33" i="1"/>
  <c r="L29" i="1"/>
  <c r="L25" i="1"/>
  <c r="L21" i="1"/>
  <c r="L17" i="1"/>
  <c r="L13" i="1"/>
  <c r="L9" i="1"/>
  <c r="L8" i="1"/>
  <c r="K20" i="1"/>
  <c r="K44" i="1"/>
  <c r="K32" i="1"/>
  <c r="K16" i="1"/>
  <c r="K39" i="1"/>
  <c r="K27" i="1"/>
  <c r="K15" i="1"/>
  <c r="K46" i="1"/>
  <c r="K38" i="1"/>
  <c r="K34" i="1"/>
  <c r="K26" i="1"/>
  <c r="K22" i="1"/>
  <c r="K18" i="1"/>
  <c r="K14" i="1"/>
  <c r="K10" i="1"/>
  <c r="K24" i="1"/>
  <c r="K30" i="1"/>
  <c r="K40" i="1"/>
  <c r="K36" i="1"/>
  <c r="K28" i="1"/>
  <c r="K12" i="1"/>
  <c r="K47" i="1"/>
  <c r="K43" i="1"/>
  <c r="K35" i="1"/>
  <c r="K31" i="1"/>
  <c r="K23" i="1"/>
  <c r="K19" i="1"/>
  <c r="K11" i="1"/>
  <c r="K42" i="1"/>
  <c r="K45" i="1"/>
  <c r="K41" i="1"/>
  <c r="K37" i="1"/>
  <c r="K33" i="1"/>
  <c r="K29" i="1"/>
  <c r="K25" i="1"/>
  <c r="K21" i="1"/>
  <c r="K17" i="1"/>
  <c r="K13" i="1"/>
  <c r="K9" i="1"/>
  <c r="K8" i="1"/>
  <c r="J36" i="1"/>
  <c r="J24" i="1"/>
  <c r="J12" i="1"/>
  <c r="J39" i="1"/>
  <c r="J11" i="1"/>
  <c r="J44" i="1"/>
  <c r="J40" i="1"/>
  <c r="J28" i="1"/>
  <c r="J20" i="1"/>
  <c r="J47" i="1"/>
  <c r="J35" i="1"/>
  <c r="J27" i="1"/>
  <c r="J19" i="1"/>
  <c r="J42" i="1"/>
  <c r="J34" i="1"/>
  <c r="J26" i="1"/>
  <c r="J18" i="1"/>
  <c r="J14" i="1"/>
  <c r="J10" i="1"/>
  <c r="J32" i="1"/>
  <c r="J16" i="1"/>
  <c r="J43" i="1"/>
  <c r="J31" i="1"/>
  <c r="J23" i="1"/>
  <c r="J15" i="1"/>
  <c r="J46" i="1"/>
  <c r="J38" i="1"/>
  <c r="J30" i="1"/>
  <c r="J22" i="1"/>
  <c r="J45" i="1"/>
  <c r="J41" i="1"/>
  <c r="J37" i="1"/>
  <c r="J33" i="1"/>
  <c r="J29" i="1"/>
  <c r="J25" i="1"/>
  <c r="J21" i="1"/>
  <c r="J17" i="1"/>
  <c r="J13" i="1"/>
  <c r="J9" i="1"/>
  <c r="J8" i="1"/>
  <c r="G20" i="1"/>
  <c r="G44" i="1"/>
  <c r="G40" i="1"/>
  <c r="G36" i="1"/>
  <c r="G32" i="1"/>
  <c r="G28" i="1"/>
  <c r="G24" i="1"/>
  <c r="G16" i="1"/>
  <c r="G12" i="1"/>
  <c r="G47" i="1"/>
  <c r="G43" i="1"/>
  <c r="G39" i="1"/>
  <c r="G35" i="1"/>
  <c r="G31" i="1"/>
  <c r="G27" i="1"/>
  <c r="G23" i="1"/>
  <c r="G19" i="1"/>
  <c r="G15" i="1"/>
  <c r="G11" i="1"/>
  <c r="G46" i="1"/>
  <c r="G42" i="1"/>
  <c r="G38" i="1"/>
  <c r="G34" i="1"/>
  <c r="G30" i="1"/>
  <c r="G26" i="1"/>
  <c r="G22" i="1"/>
  <c r="G18" i="1"/>
  <c r="G14" i="1"/>
  <c r="G10" i="1"/>
  <c r="G45" i="1"/>
  <c r="G41" i="1"/>
  <c r="G37" i="1"/>
  <c r="G33" i="1"/>
  <c r="G29" i="1"/>
  <c r="G25" i="1"/>
  <c r="G21" i="1"/>
  <c r="G17" i="1"/>
  <c r="G13" i="1"/>
  <c r="G9" i="1"/>
  <c r="G8" i="1"/>
  <c r="F36" i="1"/>
  <c r="F28" i="1"/>
  <c r="F12" i="1"/>
  <c r="F43" i="1"/>
  <c r="F31" i="1"/>
  <c r="F27" i="1"/>
  <c r="F23" i="1"/>
  <c r="F19" i="1"/>
  <c r="F15" i="1"/>
  <c r="F11" i="1"/>
  <c r="F40" i="1"/>
  <c r="F32" i="1"/>
  <c r="F20" i="1"/>
  <c r="F39" i="1"/>
  <c r="F34" i="1"/>
  <c r="F22" i="1"/>
  <c r="F10" i="1"/>
  <c r="F44" i="1"/>
  <c r="F24" i="1"/>
  <c r="F16" i="1"/>
  <c r="F47" i="1"/>
  <c r="F35" i="1"/>
  <c r="F46" i="1"/>
  <c r="F42" i="1"/>
  <c r="F38" i="1"/>
  <c r="F30" i="1"/>
  <c r="F26" i="1"/>
  <c r="F18" i="1"/>
  <c r="F14" i="1"/>
  <c r="F45" i="1"/>
  <c r="F41" i="1"/>
  <c r="F37" i="1"/>
  <c r="F33" i="1"/>
  <c r="F29" i="1"/>
  <c r="F25" i="1"/>
  <c r="F21" i="1"/>
  <c r="F17" i="1"/>
  <c r="F13" i="1"/>
  <c r="F9" i="1"/>
  <c r="F8" i="1"/>
  <c r="E40" i="1"/>
  <c r="E32" i="1"/>
  <c r="E28" i="1"/>
  <c r="E24" i="1"/>
  <c r="E20" i="1"/>
  <c r="E16" i="1"/>
  <c r="E12" i="1"/>
  <c r="E27" i="1"/>
  <c r="E11" i="1"/>
  <c r="E44" i="1"/>
  <c r="E43" i="1"/>
  <c r="E31" i="1"/>
  <c r="E19" i="1"/>
  <c r="E46" i="1"/>
  <c r="E34" i="1"/>
  <c r="E10" i="1"/>
  <c r="E36" i="1"/>
  <c r="E35" i="1"/>
  <c r="E15" i="1"/>
  <c r="E18" i="1"/>
  <c r="E47" i="1"/>
  <c r="E39" i="1"/>
  <c r="E23" i="1"/>
  <c r="E42" i="1"/>
  <c r="E38" i="1"/>
  <c r="E30" i="1"/>
  <c r="E26" i="1"/>
  <c r="E22" i="1"/>
  <c r="E14" i="1"/>
  <c r="E45" i="1"/>
  <c r="E41" i="1"/>
  <c r="E37" i="1"/>
  <c r="E33" i="1"/>
  <c r="E29" i="1"/>
  <c r="E25" i="1"/>
  <c r="E21" i="1"/>
  <c r="E17" i="1"/>
  <c r="E13" i="1"/>
  <c r="E9" i="1"/>
  <c r="E8" i="1"/>
  <c r="D24" i="1"/>
  <c r="D20" i="1"/>
  <c r="D16" i="1"/>
  <c r="D12" i="1"/>
  <c r="D11" i="1"/>
  <c r="D36" i="1"/>
  <c r="D43" i="1"/>
  <c r="D15" i="1"/>
  <c r="D40" i="1"/>
  <c r="D28" i="1"/>
  <c r="D47" i="1"/>
  <c r="D39" i="1"/>
  <c r="D31" i="1"/>
  <c r="D19" i="1"/>
  <c r="D46" i="1"/>
  <c r="D42" i="1"/>
  <c r="D38" i="1"/>
  <c r="D34" i="1"/>
  <c r="D30" i="1"/>
  <c r="D26" i="1"/>
  <c r="D22" i="1"/>
  <c r="D18" i="1"/>
  <c r="D14" i="1"/>
  <c r="D10" i="1"/>
  <c r="D23" i="1"/>
  <c r="D44" i="1"/>
  <c r="D32" i="1"/>
  <c r="D35" i="1"/>
  <c r="D27" i="1"/>
  <c r="D45" i="1"/>
  <c r="D41" i="1"/>
  <c r="D37" i="1"/>
  <c r="D33" i="1"/>
  <c r="D29" i="1"/>
  <c r="D25" i="1"/>
  <c r="D21" i="1"/>
  <c r="D17" i="1"/>
  <c r="D13" i="1"/>
  <c r="D9" i="1"/>
  <c r="D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tc={808A9338-197D-4478-8FF7-A23E49A0943D}</author>
  </authors>
  <commentList>
    <comment ref="C19" authorId="0" shapeId="0" xr:uid="{808A9338-197D-4478-8FF7-A23E49A0943D}">
      <text>
        <t>[Threaded comment]
Your version of Excel allows you to read this threaded comment; however, any edits to it will get removed if the file is opened in a newer version of Excel. Learn more: https://go.microsoft.com/fwlink/?linkid=870924
Comment:
    ATM by default (no real data)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<sst xmlns="http://schemas.openxmlformats.org/spreadsheetml/2006/main" count="74" uniqueCount="64">
  <si>
    <t>Date</t>
  </si>
  <si>
    <t>Implied volatility index</t>
  </si>
  <si>
    <t>Maturity date T</t>
  </si>
  <si>
    <t>t in year</t>
  </si>
  <si>
    <t>Strike K</t>
  </si>
  <si>
    <t>Accor SA</t>
  </si>
  <si>
    <t>Air Liquide SA</t>
  </si>
  <si>
    <t>Airbus SE</t>
  </si>
  <si>
    <t>ArcelorMittal SA</t>
  </si>
  <si>
    <t>AXA SA</t>
  </si>
  <si>
    <t>BNP Paribas SA</t>
  </si>
  <si>
    <t>Bouygues SA</t>
  </si>
  <si>
    <t>Bureau Veritas SA</t>
  </si>
  <si>
    <t>Capgemini SE</t>
  </si>
  <si>
    <t>Carrefour SA</t>
  </si>
  <si>
    <t>Credit Agricole SA</t>
  </si>
  <si>
    <t>Danone SA</t>
  </si>
  <si>
    <t>Dassault Systemes SE</t>
  </si>
  <si>
    <t>Eiffage SA</t>
  </si>
  <si>
    <t>Engie SA</t>
  </si>
  <si>
    <t>EssilorLuxottica SA</t>
  </si>
  <si>
    <t>Eurofins Scientific SE</t>
  </si>
  <si>
    <t>Euronext NV</t>
  </si>
  <si>
    <t>Hermes International SCA</t>
  </si>
  <si>
    <t>Kering SA</t>
  </si>
  <si>
    <t>Legrand SA</t>
  </si>
  <si>
    <t>L'Oreal SA</t>
  </si>
  <si>
    <t>LVMH Moet Hennessy Louis Vuitt</t>
  </si>
  <si>
    <t>Michelin</t>
  </si>
  <si>
    <t>Orange SA</t>
  </si>
  <si>
    <t>Pernod Ricard SA</t>
  </si>
  <si>
    <t>Publicis Groupe SA</t>
  </si>
  <si>
    <t>Renault SA</t>
  </si>
  <si>
    <t>Safran SA</t>
  </si>
  <si>
    <t>Saint-Gobain SA</t>
  </si>
  <si>
    <t>Sanofi SA</t>
  </si>
  <si>
    <t>Schneider Electric SE</t>
  </si>
  <si>
    <t>Societe Generale SA</t>
  </si>
  <si>
    <t>Stellantis NV</t>
  </si>
  <si>
    <t>STMicroelectronics NV</t>
  </si>
  <si>
    <t>Thales SA</t>
  </si>
  <si>
    <t>TotalEnergies SE</t>
  </si>
  <si>
    <t>Unibail-Rodamco-Westfield</t>
  </si>
  <si>
    <t>Veolia Environnement SA</t>
  </si>
  <si>
    <t>Vinci SA</t>
  </si>
  <si>
    <t>Company</t>
  </si>
  <si>
    <t>BSM Put Premium</t>
  </si>
  <si>
    <t>BSM Call Premium</t>
  </si>
  <si>
    <t>S Fixing price as at 19/05/2026 (BBG data)</t>
  </si>
  <si>
    <t>Call</t>
  </si>
  <si>
    <t>Put</t>
  </si>
  <si>
    <t>Delta Δ</t>
  </si>
  <si>
    <t>Vega v</t>
  </si>
  <si>
    <t>Theta Θ</t>
  </si>
  <si>
    <t>Rho ρ</t>
  </si>
  <si>
    <t>Gamma Γ</t>
  </si>
  <si>
    <t>Euribor 1y (risk free rate)</t>
  </si>
  <si>
    <t>Greek parameter</t>
  </si>
  <si>
    <t>definition</t>
  </si>
  <si>
    <t>Variation of the option price after a 1% rise of the stock price</t>
  </si>
  <si>
    <t>Variation of the option price per year because of the time passing</t>
  </si>
  <si>
    <t>Variation of the option price after a variation of 1% of the vol</t>
  </si>
  <si>
    <t xml:space="preserve">Variation of the option price after a variation of +1 % point </t>
  </si>
  <si>
    <t>Variation of the delta after a variation of 1€ of the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</si>
</sst>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;@"/>
    <numFmt numFmtId="168" formatCode="0.000000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 style="thin">
        <color theme="1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1"/>
      </top>
      <bottom style="thin">
        <color theme="8"/>
      </bottom>
      <diagonal/>
    </border>
    <border>
      <left style="thin">
        <color theme="8"/>
      </left>
      <right/>
      <top style="thin">
        <color theme="1"/>
      </top>
      <bottom style="thin">
        <color theme="8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3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2" borderId="1" xfId="0" applyFont="1" applyFill="1" applyBorder="1"/>
    <xf numFmtId="0" fontId="1" fillId="2" borderId="3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0" fillId="4" borderId="4" xfId="0" applyFill="1" applyBorder="1"/>
    <xf numFmtId="0" fontId="1" fillId="2" borderId="9" xfId="0" applyFont="1" applyFill="1" applyBorder="1"/>
    <xf numFmtId="0" fontId="1" fillId="2" borderId="8" xfId="0" applyFont="1" applyFill="1" applyBorder="1"/>
    <xf numFmtId="0" fontId="2" fillId="5" borderId="4" xfId="0" applyFont="1" applyFill="1" applyBorder="1"/>
    <xf numFmtId="0" fontId="2" fillId="5" borderId="5" xfId="0" applyFont="1" applyFill="1" applyBorder="1"/>
    <xf numFmtId="0" fontId="0" fillId="3" borderId="1" xfId="0" applyFill="1" applyBorder="1" applyAlignment="1">
      <alignment horizontal="left"/>
    </xf>
    <xf numFmtId="2" fontId="0" fillId="3" borderId="1" xfId="0" applyNumberFormat="1" applyFill="1" applyBorder="1" applyAlignment="1">
      <alignment horizontal="left"/>
    </xf>
    <xf numFmtId="2" fontId="0" fillId="4" borderId="2" xfId="0" applyNumberFormat="1" applyFill="1" applyBorder="1" applyAlignment="1">
      <alignment horizontal="left"/>
    </xf>
    <xf numFmtId="2" fontId="0" fillId="3" borderId="2" xfId="0" applyNumberForma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Border="1"/>
    <xf numFmtId="0" fontId="1" fillId="2" borderId="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168" fontId="0" fillId="4" borderId="2" xfId="0" applyNumberFormat="1" applyFill="1" applyBorder="1" applyAlignment="1">
      <alignment horizontal="left"/>
    </xf>
    <xf numFmtId="10" fontId="2" fillId="5" borderId="0" xfId="0" applyNumberFormat="1" applyFont="1" applyFill="1"/>
    <xf numFmtId="0" fontId="2" fillId="5" borderId="0" xfId="0" applyFont="1" applyFill="1"/>
    <xf numFmtId="10" fontId="2" fillId="4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ry-Melody MOREL" id="{19C2A8EC-E597-45DF-861D-A55A6A140C4B}" userId="Mary-Melody MOREL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9" dT="2026-05-21T13:53:28.26" personId="{19C2A8EC-E597-45DF-861D-A55A6A140C4B}" id="{808A9338-197D-4478-8FF7-A23E49A0943D}">
    <text>ATM by default (no real data)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75887-D5B3-48CE-BDB4-792A6DC4A6FC}">
  <sheetPr codeName="Sheet1"/>
  <dimension ref="A1:P55"/>
  <sheetViews>
    <sheetView tabSelected="1" zoomScale="70" zoomScaleNormal="70" workbookViewId="0">
      <selection activeCell="G3" sqref="G3"/>
    </sheetView>
  </sheetViews>
  <sheetFormatPr defaultColWidth="11.453125" defaultRowHeight="14.5" x14ac:dyDescent="0.35"/>
  <cols>
    <col min="1" max="1" width="29.7265625" bestFit="1" customWidth="1"/>
    <col min="2" max="2" width="36" customWidth="1"/>
    <col min="3" max="3" width="20.6328125" bestFit="1" customWidth="1"/>
    <col min="4" max="4" width="16.26953125" bestFit="1" customWidth="1"/>
    <col min="5" max="5" width="8.08984375" customWidth="1"/>
    <col min="6" max="6" width="8.7265625" customWidth="1"/>
    <col min="7" max="7" width="10.1796875" customWidth="1"/>
    <col min="8" max="8" width="9.1796875" customWidth="1"/>
    <col min="9" max="9" width="13" customWidth="1"/>
    <col min="10" max="10" width="15.7265625" style="2" bestFit="1" customWidth="1"/>
    <col min="11" max="11" width="11.6328125" customWidth="1"/>
    <col min="12" max="12" width="9.36328125" customWidth="1"/>
    <col min="13" max="13" width="10.6328125" customWidth="1"/>
    <col min="14" max="14" width="9.36328125" customWidth="1"/>
    <col min="15" max="15" width="12.26953125" customWidth="1"/>
  </cols>
  <sheetData>
    <row r="1" spans="1:15" x14ac:dyDescent="0.35">
      <c r="A1" s="29" t="s">
        <v>0</v>
      </c>
      <c r="B1" s="1">
        <v>46161</v>
      </c>
      <c r="C1" s="28" t="s">
        <v>56</v>
      </c>
      <c r="D1">
        <v>2.8000000000000001E-2</v>
      </c>
      <c r="J1"/>
    </row>
    <row r="2" spans="1:15" x14ac:dyDescent="0.35">
      <c r="B2" s="1"/>
      <c r="C2" s="28" t="s">
        <v>1</v>
      </c>
      <c r="D2">
        <v>0.21729999999999999</v>
      </c>
      <c r="J2"/>
    </row>
    <row r="3" spans="1:15" x14ac:dyDescent="0.35">
      <c r="B3" s="1"/>
      <c r="C3" s="28" t="s">
        <v>2</v>
      </c>
      <c r="D3" s="1">
        <v>46556</v>
      </c>
      <c r="J3" s="1"/>
    </row>
    <row r="4" spans="1:15" x14ac:dyDescent="0.35">
      <c r="B4" s="1"/>
      <c r="C4" s="28" t="s">
        <v>3</v>
      </c>
      <c r="D4">
        <v>1.0972222222222223</v>
      </c>
      <c r="J4"/>
    </row>
    <row r="5" spans="1:15" x14ac:dyDescent="0.35">
      <c r="B5" s="1"/>
      <c r="C5" s="30"/>
      <c r="J5"/>
    </row>
    <row r="6" spans="1:15" ht="16.5" customHeight="1" x14ac:dyDescent="0.35">
      <c r="D6" s="24" t="s">
        <v>49</v>
      </c>
      <c r="E6" s="24"/>
      <c r="F6" s="24"/>
      <c r="G6" s="24"/>
      <c r="H6" s="24"/>
      <c r="I6" s="25"/>
      <c r="J6" s="26" t="s">
        <v>50</v>
      </c>
      <c r="K6" s="24"/>
      <c r="L6" s="24"/>
      <c r="M6" s="24"/>
      <c r="N6" s="24"/>
      <c r="O6" s="25"/>
    </row>
    <row r="7" spans="1:15" x14ac:dyDescent="0.35">
      <c r="A7" s="9" t="s">
        <v>45</v>
      </c>
      <c r="B7" s="8" t="s">
        <v>48</v>
      </c>
      <c r="C7" s="8" t="s">
        <v>4</v>
      </c>
      <c r="D7" s="8" t="s">
        <v>47</v>
      </c>
      <c r="E7" s="9" t="s">
        <v>51</v>
      </c>
      <c r="F7" s="9" t="s">
        <v>52</v>
      </c>
      <c r="G7" s="9" t="s">
        <v>53</v>
      </c>
      <c r="H7" s="9" t="s">
        <v>54</v>
      </c>
      <c r="I7" s="13" t="s">
        <v>55</v>
      </c>
      <c r="J7" s="8" t="s">
        <v>46</v>
      </c>
      <c r="K7" s="13" t="s">
        <v>51</v>
      </c>
      <c r="L7" s="13" t="s">
        <v>52</v>
      </c>
      <c r="M7" s="13" t="s">
        <v>53</v>
      </c>
      <c r="N7" s="13" t="s">
        <v>54</v>
      </c>
      <c r="O7" s="14" t="s">
        <v>55</v>
      </c>
    </row>
    <row r="8" spans="1:15" x14ac:dyDescent="0.35">
      <c r="A8" s="10" t="s">
        <v>23</v>
      </c>
      <c r="B8" s="17">
        <v>1607</v>
      </c>
      <c r="C8" s="18">
        <v>1600</v>
      </c>
      <c r="D8" s="18" cm="1">
        <f t="array" ref="D8">BSM_call(B8,C8,$D$1,$D$4,$D$2)</f>
        <v>172.49481839202261</v>
      </c>
      <c r="E8" s="19" cm="1">
        <f t="array" ref="E8">delta_call(B8,C8,$D$1,$D$4,$D$2)</f>
        <v>0.60563516307244103</v>
      </c>
      <c r="F8" s="19" cm="1">
        <f t="array" ref="F8">vega_call_put(B8,C8,$D$1,$D$4,$D$2)</f>
        <v>6.4786041692037566</v>
      </c>
      <c r="G8" s="19" cm="1">
        <f t="array" ref="G8">theta_call(B8,C8,$D$1,$D$4,$D$2)</f>
        <v>-86.574247534336152</v>
      </c>
      <c r="H8" s="19" cm="1">
        <f t="array" ref="H8">rho_call(B8,C8,$D$1,$D$4,$D$2)</f>
        <v>8.7861264173008085</v>
      </c>
      <c r="I8" s="27" cm="1">
        <f t="array" ref="I8">gamma_call_put(B8,C8,$D$1,$D$4,$D$2)</f>
        <v>1.0521929109561456E-3</v>
      </c>
      <c r="J8" s="18" cm="1">
        <f t="array" ref="J8">BSM_put(B8,C8,$D$1,$D$4,$D$2)</f>
        <v>117.08667319585511</v>
      </c>
      <c r="K8" s="20" cm="1">
        <f t="array" ref="K8">delta_put(B8,C8,$D$1,$D$4,$D$2)</f>
        <v>-0.39436483692755897</v>
      </c>
      <c r="L8" s="19" cm="1">
        <f t="array" ref="L8">vega_call_put(B8,C8,$D$1,$D$4,$D$2)</f>
        <v>6.4786041692037566</v>
      </c>
      <c r="M8" s="19" cm="1">
        <f t="array" ref="M8">theta_put(B8,C8,$D$1,$D$4,$D$2)</f>
        <v>-43.129675599828843</v>
      </c>
      <c r="N8" s="19" cm="1">
        <f t="array" ref="N8">rho_put(B8,C8,$D$1,$D$4,$D$2)</f>
        <v>-8.2382842117968007</v>
      </c>
      <c r="O8" s="27" cm="1">
        <f t="array" ref="O8">gamma_call_put(B8,C8,$D$1,$D$4,$D$2)</f>
        <v>1.0521929109561456E-3</v>
      </c>
    </row>
    <row r="9" spans="1:15" ht="15.75" customHeight="1" x14ac:dyDescent="0.35">
      <c r="A9" s="11" t="s">
        <v>27</v>
      </c>
      <c r="B9" s="21">
        <v>462</v>
      </c>
      <c r="C9" s="20">
        <v>450</v>
      </c>
      <c r="D9" s="18" cm="1">
        <f t="array" ref="D9">BSM_call(B9,C9,$D$1,$D$4,$D$2)</f>
        <v>54.774550553213707</v>
      </c>
      <c r="E9" s="19" cm="1">
        <f t="array" ref="E9">delta_call(B9,C9,$D$1,$D$4,$D$2)</f>
        <v>0.64222111645848556</v>
      </c>
      <c r="F9" s="19" cm="1">
        <f t="array" ref="F9">vega_call_put(B9,C9,$D$1,$D$4,$D$2)</f>
        <v>1.80661078075648</v>
      </c>
      <c r="G9" s="19" cm="1">
        <f t="array" ref="G9">theta_call(B9,C9,$D$1,$D$4,$D$2)</f>
        <v>-24.663648004867348</v>
      </c>
      <c r="H9" s="19" cm="1">
        <f t="array" ref="H9">rho_call(B9,C9,$D$1,$D$4,$D$2)</f>
        <v>2.6545273353886008</v>
      </c>
      <c r="I9" s="27" cm="1">
        <f t="array" ref="I9">gamma_call_put(B9,C9,$D$1,$D$4,$D$2)</f>
        <v>3.5499834241394215E-3</v>
      </c>
      <c r="J9" s="18" cm="1">
        <f t="array" ref="J9">BSM_put(B9,C9,$D$1,$D$4,$D$2)</f>
        <v>29.159759716791601</v>
      </c>
      <c r="K9" s="20" cm="1">
        <f t="array" ref="K9">delta_put(B9,C9,$D$1,$D$4,$D$2)</f>
        <v>-0.35777888354151444</v>
      </c>
      <c r="L9" s="19" cm="1">
        <f t="array" ref="L9">vega_call_put(B9,C9,$D$1,$D$4,$D$2)</f>
        <v>1.80661078075648</v>
      </c>
      <c r="M9" s="19" cm="1">
        <f t="array" ref="M9">theta_put(B9,C9,$D$1,$D$4,$D$2)</f>
        <v>-12.444862148287168</v>
      </c>
      <c r="N9" s="19" cm="1">
        <f t="array" ref="N9">rho_put(B9,C9,$D$1,$D$4,$D$2)</f>
        <v>-2.1335881540451012</v>
      </c>
      <c r="O9" s="27" cm="1">
        <f t="array" ref="O9">gamma_call_put(B9,C9,$D$1,$D$4,$D$2)</f>
        <v>3.5499834241394215E-3</v>
      </c>
    </row>
    <row r="10" spans="1:15" x14ac:dyDescent="0.35">
      <c r="A10" s="12" t="s">
        <v>26</v>
      </c>
      <c r="B10" s="22">
        <v>357.2</v>
      </c>
      <c r="C10" s="19">
        <v>350</v>
      </c>
      <c r="D10" s="18" cm="1">
        <f t="array" ref="D10">BSM_call(B10,C10,$D$1,$D$4,$D$2)</f>
        <v>41.24279588090554</v>
      </c>
      <c r="E10" s="19" cm="1">
        <f t="array" ref="E10">delta_call(B10,C10,$D$1,$D$4,$D$2)</f>
        <v>0.63240942355599272</v>
      </c>
      <c r="F10" s="19" cm="1">
        <f t="array" ref="F10">vega_call_put(B10,C10,$D$1,$D$4,$D$2)</f>
        <v>1.4096963368320172</v>
      </c>
      <c r="G10" s="19" cm="1">
        <f t="array" ref="G10">theta_call(B10,C10,$D$1,$D$4,$D$2)</f>
        <v>-19.129513506946314</v>
      </c>
      <c r="H10" s="19" cm="1">
        <f t="array" ref="H10">rho_call(B10,C10,$D$1,$D$4,$D$2)</f>
        <v>2.02606307872921</v>
      </c>
      <c r="I10" s="27" cm="1">
        <f t="array" ref="I10">gamma_call_put(B10,C10,$D$1,$D$4,$D$2)</f>
        <v>4.633918055251849E-3</v>
      </c>
      <c r="J10" s="18" cm="1">
        <f t="array" ref="J10">BSM_put(B10,C10,$D$1,$D$4,$D$2)</f>
        <v>23.453514119243909</v>
      </c>
      <c r="K10" s="20" cm="1">
        <f t="array" ref="K10">delta_put(B10,C10,$D$1,$D$4,$D$2)</f>
        <v>-0.36759057644400728</v>
      </c>
      <c r="L10" s="19" cm="1">
        <f t="array" ref="L10">vega_call_put(B10,C10,$D$1,$D$4,$D$2)</f>
        <v>1.4096963368320172</v>
      </c>
      <c r="M10" s="19" cm="1">
        <f t="array" ref="M10">theta_put(B10,C10,$D$1,$D$4,$D$2)</f>
        <v>-9.6260133962728407</v>
      </c>
      <c r="N10" s="19" cm="1">
        <f t="array" ref="N10">rho_put(B10,C10,$D$1,$D$4,$D$2)</f>
        <v>-1.6980267463858918</v>
      </c>
      <c r="O10" s="27" cm="1">
        <f t="array" ref="O10">gamma_call_put(B10,C10,$D$1,$D$4,$D$2)</f>
        <v>4.633918055251849E-3</v>
      </c>
    </row>
    <row r="11" spans="1:15" x14ac:dyDescent="0.35">
      <c r="A11" s="11" t="s">
        <v>33</v>
      </c>
      <c r="B11" s="21">
        <v>274.2</v>
      </c>
      <c r="C11" s="20">
        <v>300</v>
      </c>
      <c r="D11" s="18" cm="1">
        <f t="array" ref="D11">BSM_call(B11,C11,$D$1,$D$4,$D$2)</f>
        <v>18.098581617539221</v>
      </c>
      <c r="E11" s="19" cm="1">
        <f t="array" ref="E11">delta_call(B11,C11,$D$1,$D$4,$D$2)</f>
        <v>0.44184763674755667</v>
      </c>
      <c r="F11" s="19" cm="1">
        <f t="array" ref="F11">vega_call_put(B11,C11,$D$1,$D$4,$D$2)</f>
        <v>1.1336472093556802</v>
      </c>
      <c r="G11" s="19" cm="1">
        <f t="array" ref="G11">theta_call(B11,C11,$D$1,$D$4,$D$2)</f>
        <v>-14.111259496864745</v>
      </c>
      <c r="H11" s="19" cm="1">
        <f t="array" ref="H11">rho_call(B11,C11,$D$1,$D$4,$D$2)</f>
        <v>1.1307537763767534</v>
      </c>
      <c r="I11" s="27" cm="1">
        <f t="array" ref="I11">gamma_call_put(B11,C11,$D$1,$D$4,$D$2)</f>
        <v>6.3239539847035151E-3</v>
      </c>
      <c r="J11" s="18" cm="1">
        <f t="array" ref="J11">BSM_put(B11,C11,$D$1,$D$4,$D$2)</f>
        <v>34.822054393257822</v>
      </c>
      <c r="K11" s="20" cm="1">
        <f t="array" ref="K11">delta_put(B11,C11,$D$1,$D$4,$D$2)</f>
        <v>-0.55815236325244333</v>
      </c>
      <c r="L11" s="19" cm="1">
        <f t="array" ref="L11">vega_call_put(B11,C11,$D$1,$D$4,$D$2)</f>
        <v>1.1336472093556802</v>
      </c>
      <c r="M11" s="19" cm="1">
        <f t="array" ref="M11">theta_put(B11,C11,$D$1,$D$4,$D$2)</f>
        <v>-5.9654022591446241</v>
      </c>
      <c r="N11" s="19" cm="1">
        <f t="array" ref="N11">rho_put(B11,C11,$D$1,$D$4,$D$2)</f>
        <v>-2.0613232165790478</v>
      </c>
      <c r="O11" s="27" cm="1">
        <f t="array" ref="O11">gamma_call_put(B11,C11,$D$1,$D$4,$D$2)</f>
        <v>6.3239539847035151E-3</v>
      </c>
    </row>
    <row r="12" spans="1:15" x14ac:dyDescent="0.35">
      <c r="A12" s="12" t="s">
        <v>36</v>
      </c>
      <c r="B12" s="22">
        <v>255.8</v>
      </c>
      <c r="C12" s="19">
        <v>240</v>
      </c>
      <c r="D12" s="18" cm="1">
        <f t="array" ref="D12">BSM_call(B12,C12,$D$1,$D$4,$D$2)</f>
        <v>35.534007190432767</v>
      </c>
      <c r="E12" s="19" cm="1">
        <f t="array" ref="E12">delta_call(B12,C12,$D$1,$D$4,$D$2)</f>
        <v>0.70155792331698885</v>
      </c>
      <c r="F12" s="19" cm="1">
        <f t="array" ref="F12">vega_call_put(B12,C12,$D$1,$D$4,$D$2)</f>
        <v>0.92943123584281362</v>
      </c>
      <c r="G12" s="19" cm="1">
        <f t="array" ref="G12">theta_call(B12,C12,$D$1,$D$4,$D$2)</f>
        <v>-13.233373194900775</v>
      </c>
      <c r="H12" s="19" cm="1">
        <f t="array" ref="H12">rho_call(B12,C12,$D$1,$D$4,$D$2)</f>
        <v>1.5791717024903038</v>
      </c>
      <c r="I12" s="27" cm="1">
        <f t="array" ref="I12">gamma_call_put(B12,C12,$D$1,$D$4,$D$2)</f>
        <v>5.9574699782879359E-3</v>
      </c>
      <c r="J12" s="18" cm="1">
        <f t="array" ref="J12">BSM_put(B12,C12,$D$1,$D$4,$D$2)</f>
        <v>12.472785411007633</v>
      </c>
      <c r="K12" s="20" cm="1">
        <f t="array" ref="K12">delta_put(B12,C12,$D$1,$D$4,$D$2)</f>
        <v>-0.29844207668301115</v>
      </c>
      <c r="L12" s="19" cm="1">
        <f t="array" ref="L12">vega_call_put(B12,C12,$D$1,$D$4,$D$2)</f>
        <v>0.92943123584281362</v>
      </c>
      <c r="M12" s="19" cm="1">
        <f t="array" ref="M12">theta_put(B12,C12,$D$1,$D$4,$D$2)</f>
        <v>-6.716687404724679</v>
      </c>
      <c r="N12" s="19" cm="1">
        <f t="array" ref="N12">rho_put(B12,C12,$D$1,$D$4,$D$2)</f>
        <v>-0.97448989187433743</v>
      </c>
      <c r="O12" s="27" cm="1">
        <f t="array" ref="O12">gamma_call_put(B12,C12,$D$1,$D$4,$D$2)</f>
        <v>5.9574699782879359E-3</v>
      </c>
    </row>
    <row r="13" spans="1:15" x14ac:dyDescent="0.35">
      <c r="A13" s="12" t="s">
        <v>24</v>
      </c>
      <c r="B13" s="22">
        <v>241.25</v>
      </c>
      <c r="C13" s="19">
        <v>240</v>
      </c>
      <c r="D13" s="18" cm="1">
        <f t="array" ref="D13">BSM_call(B13,C13,$D$1,$D$4,$D$2)</f>
        <v>25.995489999229012</v>
      </c>
      <c r="E13" s="19" cm="1">
        <f t="array" ref="E13">delta_call(B13,C13,$D$1,$D$4,$D$2)</f>
        <v>0.60703681780206575</v>
      </c>
      <c r="F13" s="19" cm="1">
        <f t="array" ref="F13">vega_call_put(B13,C13,$D$1,$D$4,$D$2)</f>
        <v>0.97164133955218357</v>
      </c>
      <c r="G13" s="19" cm="1">
        <f t="array" ref="G13">theta_call(B13,C13,$D$1,$D$4,$D$2)</f>
        <v>-12.99412311218444</v>
      </c>
      <c r="H13" s="19" cm="1">
        <f t="array" ref="H13">rho_call(B13,C13,$D$1,$D$4,$D$2)</f>
        <v>1.3216276724091707</v>
      </c>
      <c r="I13" s="27" cm="1">
        <f t="array" ref="I13">gamma_call_put(B13,C13,$D$1,$D$4,$D$2)</f>
        <v>7.0019179750053203E-3</v>
      </c>
      <c r="J13" s="18" cm="1">
        <f t="array" ref="J13">BSM_put(B13,C13,$D$1,$D$4,$D$2)</f>
        <v>17.484268219803887</v>
      </c>
      <c r="K13" s="20" cm="1">
        <f t="array" ref="K13">delta_put(B13,C13,$D$1,$D$4,$D$2)</f>
        <v>-0.39296318219793425</v>
      </c>
      <c r="L13" s="19" cm="1">
        <f t="array" ref="L13">vega_call_put(B13,C13,$D$1,$D$4,$D$2)</f>
        <v>0.97164133955218357</v>
      </c>
      <c r="M13" s="19" cm="1">
        <f t="array" ref="M13">theta_put(B13,C13,$D$1,$D$4,$D$2)</f>
        <v>-6.4774373220083437</v>
      </c>
      <c r="N13" s="19" cm="1">
        <f t="array" ref="N13">rho_put(B13,C13,$D$1,$D$4,$D$2)</f>
        <v>-1.2320339219554703</v>
      </c>
      <c r="O13" s="27" cm="1">
        <f t="array" ref="O13">gamma_call_put(B13,C13,$D$1,$D$4,$D$2)</f>
        <v>7.0019179750053203E-3</v>
      </c>
    </row>
    <row r="14" spans="1:15" x14ac:dyDescent="0.35">
      <c r="A14" s="12" t="s">
        <v>40</v>
      </c>
      <c r="B14" s="22">
        <v>226.3</v>
      </c>
      <c r="C14" s="19">
        <v>220</v>
      </c>
      <c r="D14" s="18" cm="1">
        <f t="array" ref="D14">BSM_call(B14,C14,$D$1,$D$4,$D$2)</f>
        <v>27.057645598608325</v>
      </c>
      <c r="E14" s="19" cm="1">
        <f t="array" ref="E14">delta_call(B14,C14,$D$1,$D$4,$D$2)</f>
        <v>0.64535982296017924</v>
      </c>
      <c r="F14" s="19" cm="1">
        <f t="array" ref="F14">vega_call_put(B14,C14,$D$1,$D$4,$D$2)</f>
        <v>0.88218392845178983</v>
      </c>
      <c r="G14" s="19" cm="1">
        <f t="array" ref="G14">theta_call(B14,C14,$D$1,$D$4,$D$2)</f>
        <v>-12.067274836447213</v>
      </c>
      <c r="H14" s="19" cm="1">
        <f t="array" ref="H14">rho_call(B14,C14,$D$1,$D$4,$D$2)</f>
        <v>1.3055549034229361</v>
      </c>
      <c r="I14" s="27" cm="1">
        <f t="array" ref="I14">gamma_call_put(B14,C14,$D$1,$D$4,$D$2)</f>
        <v>7.2249644162782553E-3</v>
      </c>
      <c r="J14" s="18" cm="1">
        <f t="array" ref="J14">BSM_put(B14,C14,$D$1,$D$4,$D$2)</f>
        <v>14.101525634135283</v>
      </c>
      <c r="K14" s="20" cm="1">
        <f t="array" ref="K14">delta_put(B14,C14,$D$1,$D$4,$D$2)</f>
        <v>-0.35464017703982076</v>
      </c>
      <c r="L14" s="19" cm="1">
        <f t="array" ref="L14">vega_call_put(B14,C14,$D$1,$D$4,$D$2)</f>
        <v>0.88218392845178983</v>
      </c>
      <c r="M14" s="19" cm="1">
        <f t="array" ref="M14">theta_put(B14,C14,$D$1,$D$4,$D$2)</f>
        <v>-6.0936461954524574</v>
      </c>
      <c r="N14" s="19" cm="1">
        <f t="array" ref="N14">rho_put(B14,C14,$D$1,$D$4,$D$2)</f>
        <v>-1.0353015580779852</v>
      </c>
      <c r="O14" s="27" cm="1">
        <f t="array" ref="O14">gamma_call_put(B14,C14,$D$1,$D$4,$D$2)</f>
        <v>7.2249644162782553E-3</v>
      </c>
    </row>
    <row r="15" spans="1:15" x14ac:dyDescent="0.35">
      <c r="A15" s="12" t="s">
        <v>20</v>
      </c>
      <c r="B15" s="22">
        <v>176</v>
      </c>
      <c r="C15" s="19">
        <v>180</v>
      </c>
      <c r="D15" s="18" cm="1">
        <f t="array" ref="D15">BSM_call(B15,C15,$D$1,$D$4,$D$2)</f>
        <v>16.615350042170931</v>
      </c>
      <c r="E15" s="19" cm="1">
        <f t="array" ref="E15">delta_call(B15,C15,$D$1,$D$4,$D$2)</f>
        <v>0.55963790071630981</v>
      </c>
      <c r="F15" s="19" cm="1">
        <f t="array" ref="F15">vega_call_put(B15,C15,$D$1,$D$4,$D$2)</f>
        <v>0.72724522827505844</v>
      </c>
      <c r="G15" s="19" cm="1">
        <f t="array" ref="G15">theta_call(B15,C15,$D$1,$D$4,$D$2)</f>
        <v>-9.4940505479164354</v>
      </c>
      <c r="H15" s="19" cm="1">
        <f t="array" ref="H15">rho_call(B15,C15,$D$1,$D$4,$D$2)</f>
        <v>0.898415655309454</v>
      </c>
      <c r="I15" s="27" cm="1">
        <f t="array" ref="I15">gamma_call_put(B15,C15,$D$1,$D$4,$D$2)</f>
        <v>9.8469384558698102E-3</v>
      </c>
      <c r="J15" s="18" cm="1">
        <f t="array" ref="J15">BSM_put(B15,C15,$D$1,$D$4,$D$2)</f>
        <v>15.169433707602087</v>
      </c>
      <c r="K15" s="20" cm="1">
        <f t="array" ref="K15">delta_put(B15,C15,$D$1,$D$4,$D$2)</f>
        <v>-0.44036209928369019</v>
      </c>
      <c r="L15" s="19" cm="1">
        <f t="array" ref="L15">vega_call_put(B15,C15,$D$1,$D$4,$D$2)</f>
        <v>0.72724522827505844</v>
      </c>
      <c r="M15" s="19" cm="1">
        <f t="array" ref="M15">theta_put(B15,C15,$D$1,$D$4,$D$2)</f>
        <v>-4.606536205284363</v>
      </c>
      <c r="N15" s="19" cm="1">
        <f t="array" ref="N15">rho_put(B15,C15,$D$1,$D$4,$D$2)</f>
        <v>-1.016830540464027</v>
      </c>
      <c r="O15" s="27" cm="1">
        <f t="array" ref="O15">gamma_call_put(B15,C15,$D$1,$D$4,$D$2)</f>
        <v>9.8469384558698102E-3</v>
      </c>
    </row>
    <row r="16" spans="1:15" x14ac:dyDescent="0.35">
      <c r="A16" s="12" t="s">
        <v>6</v>
      </c>
      <c r="B16" s="22">
        <v>174.1</v>
      </c>
      <c r="C16" s="19">
        <v>180</v>
      </c>
      <c r="D16" s="18" cm="1">
        <f t="array" ref="D16">BSM_call(B16,C16,$D$1,$D$4,$D$2)</f>
        <v>15.569915254743004</v>
      </c>
      <c r="E16" s="19" cm="1">
        <f t="array" ref="E16">delta_call(B16,C16,$D$1,$D$4,$D$2)</f>
        <v>0.5407667031907506</v>
      </c>
      <c r="F16" s="19" cm="1">
        <f t="array" ref="F16">vega_call_put(B16,C16,$D$1,$D$4,$D$2)</f>
        <v>0.7237369002913171</v>
      </c>
      <c r="G16" s="19" cm="1">
        <f t="array" ref="G16">theta_call(B16,C16,$D$1,$D$4,$D$2)</f>
        <v>-9.3668162312509793</v>
      </c>
      <c r="H16" s="19" cm="1">
        <f t="array" ref="H16">rho_call(B16,C16,$D$1,$D$4,$D$2)</f>
        <v>0.86217053526257881</v>
      </c>
      <c r="I16" s="27" cm="1">
        <f t="array" ref="I16">gamma_call_put(B16,C16,$D$1,$D$4,$D$2)</f>
        <v>1.001449035506616E-2</v>
      </c>
      <c r="J16" s="18" cm="1">
        <f t="array" ref="J16">BSM_put(B16,C16,$D$1,$D$4,$D$2)</f>
        <v>16.023998920174165</v>
      </c>
      <c r="K16" s="20" cm="1">
        <f t="array" ref="K16">delta_put(B16,C16,$D$1,$D$4,$D$2)</f>
        <v>-0.4592332968092494</v>
      </c>
      <c r="L16" s="19" cm="1">
        <f t="array" ref="L16">vega_call_put(B16,C16,$D$1,$D$4,$D$2)</f>
        <v>0.7237369002913171</v>
      </c>
      <c r="M16" s="19" cm="1">
        <f t="array" ref="M16">theta_put(B16,C16,$D$1,$D$4,$D$2)</f>
        <v>-4.479301888618906</v>
      </c>
      <c r="N16" s="19" cm="1">
        <f t="array" ref="N16">rho_put(B16,C16,$D$1,$D$4,$D$2)</f>
        <v>-1.0530756605109022</v>
      </c>
      <c r="O16" s="27" cm="1">
        <f t="array" ref="O16">gamma_call_put(B16,C16,$D$1,$D$4,$D$2)</f>
        <v>1.001449035506616E-2</v>
      </c>
    </row>
    <row r="17" spans="1:15" x14ac:dyDescent="0.35">
      <c r="A17" s="11" t="s">
        <v>7</v>
      </c>
      <c r="B17" s="21">
        <v>169.1</v>
      </c>
      <c r="C17" s="20">
        <v>170</v>
      </c>
      <c r="D17" s="18" cm="1">
        <f t="array" ref="D17">BSM_call(B17,C17,$D$1,$D$4,$D$2)</f>
        <v>17.345532333574905</v>
      </c>
      <c r="E17" s="19" cm="1">
        <f t="array" ref="E17">delta_call(B17,C17,$D$1,$D$4,$D$2)</f>
        <v>0.58918973166210598</v>
      </c>
      <c r="F17" s="19" cm="1">
        <f t="array" ref="F17">vega_call_put(B17,C17,$D$1,$D$4,$D$2)</f>
        <v>0.68891046604849937</v>
      </c>
      <c r="G17" s="19" cm="1">
        <f t="array" ref="G17">theta_call(B17,C17,$D$1,$D$4,$D$2)</f>
        <v>-9.1258039194300959</v>
      </c>
      <c r="H17" s="19" cm="1">
        <f t="array" ref="H17">rho_call(B17,C17,$D$1,$D$4,$D$2)</f>
        <v>0.90286522943729031</v>
      </c>
      <c r="I17" s="27" cm="1">
        <f t="array" ref="I17">gamma_call_put(B17,C17,$D$1,$D$4,$D$2)</f>
        <v>1.0104649327035234E-2</v>
      </c>
      <c r="J17" s="18" cm="1">
        <f t="array" ref="J17">BSM_put(B17,C17,$D$1,$D$4,$D$2)</f>
        <v>13.102166906482113</v>
      </c>
      <c r="K17" s="20" cm="1">
        <f t="array" ref="K17">delta_put(B17,C17,$D$1,$D$4,$D$2)</f>
        <v>-0.41081026833789402</v>
      </c>
      <c r="L17" s="19" cm="1">
        <f t="array" ref="L17">vega_call_put(B17,C17,$D$1,$D$4,$D$2)</f>
        <v>0.68891046604849937</v>
      </c>
      <c r="M17" s="19" cm="1">
        <f t="array" ref="M17">theta_put(B17,C17,$D$1,$D$4,$D$2)</f>
        <v>-4.5098181513886946</v>
      </c>
      <c r="N17" s="19" cm="1">
        <f t="array" ref="N17">rho_put(B17,C17,$D$1,$D$4,$D$2)</f>
        <v>-0.9059783999043306</v>
      </c>
      <c r="O17" s="27" cm="1">
        <f t="array" ref="O17">gamma_call_put(B17,C17,$D$1,$D$4,$D$2)</f>
        <v>1.0104649327035234E-2</v>
      </c>
    </row>
    <row r="18" spans="1:15" x14ac:dyDescent="0.35">
      <c r="A18" s="11" t="s">
        <v>25</v>
      </c>
      <c r="B18" s="21">
        <v>145.6</v>
      </c>
      <c r="C18" s="20">
        <v>140</v>
      </c>
      <c r="D18" s="18" cm="1">
        <f t="array" ref="D18">BSM_call(B18,C18,$D$1,$D$4,$D$2)</f>
        <v>18.259437447118323</v>
      </c>
      <c r="E18" s="19" cm="1">
        <f t="array" ref="E18">delta_call(B18,C18,$D$1,$D$4,$D$2)</f>
        <v>0.66315564877661004</v>
      </c>
      <c r="F18" s="19" cm="1">
        <f t="array" ref="F18">vega_call_put(B18,C18,$D$1,$D$4,$D$2)</f>
        <v>0.55681986586832977</v>
      </c>
      <c r="G18" s="19" cm="1">
        <f t="array" ref="G18">theta_call(B18,C18,$D$1,$D$4,$D$2)</f>
        <v>-7.7060740760014861</v>
      </c>
      <c r="H18" s="19" cm="1">
        <f t="array" ref="H18">rho_call(B18,C18,$D$1,$D$4,$D$2)</f>
        <v>0.85908138557857394</v>
      </c>
      <c r="I18" s="27" cm="1">
        <f t="array" ref="I18">gamma_call_put(B18,C18,$D$1,$D$4,$D$2)</f>
        <v>1.1016348092724077E-2</v>
      </c>
      <c r="J18" s="18" cm="1">
        <f t="array" ref="J18">BSM_put(B18,C18,$D$1,$D$4,$D$2)</f>
        <v>8.4237247424536719</v>
      </c>
      <c r="K18" s="20" cm="1">
        <f t="array" ref="K18">delta_put(B18,C18,$D$1,$D$4,$D$2)</f>
        <v>-0.33684435122338996</v>
      </c>
      <c r="L18" s="19" cm="1">
        <f t="array" ref="L18">vega_call_put(B18,C18,$D$1,$D$4,$D$2)</f>
        <v>0.55681986586832977</v>
      </c>
      <c r="M18" s="19" cm="1">
        <f t="array" ref="M18">theta_put(B18,C18,$D$1,$D$4,$D$2)</f>
        <v>-3.904674031732096</v>
      </c>
      <c r="N18" s="19" cm="1">
        <f t="array" ref="N18">rho_put(B18,C18,$D$1,$D$4,$D$2)</f>
        <v>-0.63055454446746684</v>
      </c>
      <c r="O18" s="27" cm="1">
        <f t="array" ref="O18">gamma_call_put(B18,C18,$D$1,$D$4,$D$2)</f>
        <v>1.1016348092724077E-2</v>
      </c>
    </row>
    <row r="19" spans="1:15" x14ac:dyDescent="0.35">
      <c r="A19" s="12" t="s">
        <v>22</v>
      </c>
      <c r="B19" s="22">
        <v>140.30000000000001</v>
      </c>
      <c r="C19" s="19">
        <v>140.30000000000001</v>
      </c>
      <c r="D19" s="18" cm="1">
        <f t="array" ref="D19">BSM_call(B19,C19,$D$1,$D$4,$D$2)</f>
        <v>14.756160527580457</v>
      </c>
      <c r="E19" s="19" cm="1">
        <f t="array" ref="E19">delta_call(B19,C19,$D$1,$D$4,$D$2)</f>
        <v>0.59823517888096467</v>
      </c>
      <c r="F19" s="19" cm="1">
        <f t="array" ref="F19">vega_call_put(B19,C19,$D$1,$D$4,$D$2)</f>
        <v>0.5684277662246493</v>
      </c>
      <c r="G19" s="19" cm="1">
        <f t="array" ref="G19">theta_call(B19,C19,$D$1,$D$4,$D$2)</f>
        <v>-7.5656646194401667</v>
      </c>
      <c r="H19" s="19" cm="1">
        <f t="array" ref="H19">rho_call(B19,C19,$D$1,$D$4,$D$2)</f>
        <v>0.75901702367834623</v>
      </c>
      <c r="I19" s="27" cm="1">
        <f t="array" ref="I19">gamma_call_put(B19,C19,$D$1,$D$4,$D$2)</f>
        <v>1.2111714380265159E-2</v>
      </c>
      <c r="J19" s="18" cm="1">
        <f t="array" ref="J19">BSM_put(B19,C19,$D$1,$D$4,$D$2)</f>
        <v>10.511371295691518</v>
      </c>
      <c r="K19" s="20" cm="1">
        <f t="array" ref="K19">delta_put(B19,C19,$D$1,$D$4,$D$2)</f>
        <v>-0.40176482111903533</v>
      </c>
      <c r="L19" s="19" cm="1">
        <f t="array" ref="L19">vega_call_put(B19,C19,$D$1,$D$4,$D$2)</f>
        <v>0.5684277662246493</v>
      </c>
      <c r="M19" s="19" cm="1">
        <f t="array" ref="M19">theta_put(B19,C19,$D$1,$D$4,$D$2)</f>
        <v>-3.7561187179330573</v>
      </c>
      <c r="N19" s="19" cm="1">
        <f t="array" ref="N19">rho_put(B19,C19,$D$1,$D$4,$D$2)</f>
        <v>-0.73381098336065032</v>
      </c>
      <c r="O19" s="27" cm="1">
        <f t="array" ref="O19">gamma_call_put(B19,C19,$D$1,$D$4,$D$2)</f>
        <v>1.2111714380265159E-2</v>
      </c>
    </row>
    <row r="20" spans="1:15" x14ac:dyDescent="0.35">
      <c r="A20" s="12" t="s">
        <v>18</v>
      </c>
      <c r="B20" s="22">
        <v>129.19999999999999</v>
      </c>
      <c r="C20" s="19">
        <v>120</v>
      </c>
      <c r="D20" s="18" cm="1">
        <f t="array" ref="D20">BSM_call(B20,C20,$D$1,$D$4,$D$2)</f>
        <v>18.68898325091801</v>
      </c>
      <c r="E20" s="19" cm="1">
        <f t="array" ref="E20">delta_call(B20,C20,$D$1,$D$4,$D$2)</f>
        <v>0.71678451928828169</v>
      </c>
      <c r="F20" s="19" cm="1">
        <f t="array" ref="F20">vega_call_put(B20,C20,$D$1,$D$4,$D$2)</f>
        <v>0.45808445911324047</v>
      </c>
      <c r="G20" s="19" cm="1">
        <f t="array" ref="G20">theta_call(B20,C20,$D$1,$D$4,$D$2)</f>
        <v>-6.6058280279149466</v>
      </c>
      <c r="H20" s="19" cm="1">
        <f t="array" ref="H20">rho_call(B20,C20,$D$1,$D$4,$D$2)</f>
        <v>0.81106202147904316</v>
      </c>
      <c r="I20" s="27" cm="1">
        <f t="array" ref="I20">gamma_call_put(B20,C20,$D$1,$D$4,$D$2)</f>
        <v>1.1509758459237183E-2</v>
      </c>
      <c r="J20" s="18" cm="1">
        <f t="array" ref="J20">BSM_put(B20,C20,$D$1,$D$4,$D$2)</f>
        <v>5.8583723612054603</v>
      </c>
      <c r="K20" s="20" cm="1">
        <f t="array" ref="K20">delta_put(B20,C20,$D$1,$D$4,$D$2)</f>
        <v>-0.28321548071171831</v>
      </c>
      <c r="L20" s="19" cm="1">
        <f t="array" ref="L20">vega_call_put(B20,C20,$D$1,$D$4,$D$2)</f>
        <v>0.45808445911324047</v>
      </c>
      <c r="M20" s="19" cm="1">
        <f t="array" ref="M20">theta_put(B20,C20,$D$1,$D$4,$D$2)</f>
        <v>-3.3474851328268977</v>
      </c>
      <c r="N20" s="19" cm="1">
        <f t="array" ref="N20">rho_put(B20,C20,$D$1,$D$4,$D$2)</f>
        <v>-0.46576877570327752</v>
      </c>
      <c r="O20" s="27" cm="1">
        <f t="array" ref="O20">gamma_call_put(B20,C20,$D$1,$D$4,$D$2)</f>
        <v>1.1509758459237183E-2</v>
      </c>
    </row>
    <row r="21" spans="1:15" x14ac:dyDescent="0.35">
      <c r="A21" s="12" t="s">
        <v>44</v>
      </c>
      <c r="B21" s="22">
        <v>122.95</v>
      </c>
      <c r="C21" s="19">
        <v>120</v>
      </c>
      <c r="D21" s="18" cm="1">
        <f t="array" ref="D21">BSM_call(B21,C21,$D$1,$D$4,$D$2)</f>
        <v>14.446408279219368</v>
      </c>
      <c r="E21" s="19" cm="1">
        <f t="array" ref="E21">delta_call(B21,C21,$D$1,$D$4,$D$2)</f>
        <v>0.63888424721472559</v>
      </c>
      <c r="F21" s="19" cm="1">
        <f t="array" ref="F21">vega_call_put(B21,C21,$D$1,$D$4,$D$2)</f>
        <v>0.48233210070031285</v>
      </c>
      <c r="G21" s="19" cm="1">
        <f t="array" ref="G21">theta_call(B21,C21,$D$1,$D$4,$D$2)</f>
        <v>-6.5711102591096093</v>
      </c>
      <c r="H21" s="19" cm="1">
        <f t="array" ref="H21">rho_call(B21,C21,$D$1,$D$4,$D$2)</f>
        <v>0.70336783102092515</v>
      </c>
      <c r="I21" s="27" cm="1">
        <f t="array" ref="I21">gamma_call_put(B21,C21,$D$1,$D$4,$D$2)</f>
        <v>1.338242380085878E-2</v>
      </c>
      <c r="J21" s="18" cm="1">
        <f t="array" ref="J21">BSM_put(B21,C21,$D$1,$D$4,$D$2)</f>
        <v>7.8657973895068016</v>
      </c>
      <c r="K21" s="20" cm="1">
        <f t="array" ref="K21">delta_put(B21,C21,$D$1,$D$4,$D$2)</f>
        <v>-0.36111575278527441</v>
      </c>
      <c r="L21" s="19" cm="1">
        <f t="array" ref="L21">vega_call_put(B21,C21,$D$1,$D$4,$D$2)</f>
        <v>0.48233210070031285</v>
      </c>
      <c r="M21" s="19" cm="1">
        <f t="array" ref="M21">theta_put(B21,C21,$D$1,$D$4,$D$2)</f>
        <v>-3.3127673640215614</v>
      </c>
      <c r="N21" s="19" cm="1">
        <f t="array" ref="N21">rho_put(B21,C21,$D$1,$D$4,$D$2)</f>
        <v>-0.57346296616139536</v>
      </c>
      <c r="O21" s="27" cm="1">
        <f t="array" ref="O21">gamma_call_put(B21,C21,$D$1,$D$4,$D$2)</f>
        <v>1.338242380085878E-2</v>
      </c>
    </row>
    <row r="22" spans="1:15" x14ac:dyDescent="0.35">
      <c r="A22" s="11" t="s">
        <v>13</v>
      </c>
      <c r="B22" s="21">
        <v>105.3</v>
      </c>
      <c r="C22" s="20">
        <v>100</v>
      </c>
      <c r="D22" s="18" cm="1">
        <f t="array" ref="D22">BSM_call(B22,C22,$D$1,$D$4,$D$2)</f>
        <v>13.917433902220449</v>
      </c>
      <c r="E22" s="19" cm="1">
        <f t="array" ref="E22">delta_call(B22,C22,$D$1,$D$4,$D$2)</f>
        <v>0.68284419280532793</v>
      </c>
      <c r="F22" s="19" cm="1">
        <f t="array" ref="F22">vega_call_put(B22,C22,$D$1,$D$4,$D$2)</f>
        <v>0.39296528898075389</v>
      </c>
      <c r="G22" s="19" cm="1">
        <f t="array" ref="G22">theta_call(B22,C22,$D$1,$D$4,$D$2)</f>
        <v>-5.5148613936640949</v>
      </c>
      <c r="H22" s="19" cm="1">
        <f t="array" ref="H22">rho_call(B22,C22,$D$1,$D$4,$D$2)</f>
        <v>0.63623593172420367</v>
      </c>
      <c r="I22" s="27" cm="1">
        <f t="array" ref="I22">gamma_call_put(B22,C22,$D$1,$D$4,$D$2)</f>
        <v>1.4864254305444573E-2</v>
      </c>
      <c r="J22" s="18" cm="1">
        <f t="array" ref="J22">BSM_put(B22,C22,$D$1,$D$4,$D$2)</f>
        <v>5.5919248274599829</v>
      </c>
      <c r="K22" s="20" cm="1">
        <f t="array" ref="K22">delta_put(B22,C22,$D$1,$D$4,$D$2)</f>
        <v>-0.31715580719467207</v>
      </c>
      <c r="L22" s="19" cm="1">
        <f t="array" ref="L22">vega_call_put(B22,C22,$D$1,$D$4,$D$2)</f>
        <v>0.39296528898075389</v>
      </c>
      <c r="M22" s="19" cm="1">
        <f t="array" ref="M22">theta_put(B22,C22,$D$1,$D$4,$D$2)</f>
        <v>-2.7995756477573881</v>
      </c>
      <c r="N22" s="19" cm="1">
        <f t="array" ref="N22">rho_put(B22,C22,$D$1,$D$4,$D$2)</f>
        <v>-0.4277897325943969</v>
      </c>
      <c r="O22" s="27" cm="1">
        <f t="array" ref="O22">gamma_call_put(B22,C22,$D$1,$D$4,$D$2)</f>
        <v>1.4864254305444573E-2</v>
      </c>
    </row>
    <row r="23" spans="1:15" x14ac:dyDescent="0.35">
      <c r="A23" s="12" t="s">
        <v>42</v>
      </c>
      <c r="B23" s="22">
        <v>96.2</v>
      </c>
      <c r="C23" s="19">
        <v>100</v>
      </c>
      <c r="D23" s="18" cm="1">
        <f t="array" ref="D23">BSM_call(B23,C23,$D$1,$D$4,$D$2)</f>
        <v>8.3700168492080778</v>
      </c>
      <c r="E23" s="19" cm="1">
        <f t="array" ref="E23">delta_call(B23,C23,$D$1,$D$4,$D$2)</f>
        <v>0.53131696875294621</v>
      </c>
      <c r="F23" s="19" cm="1">
        <f t="array" ref="F23">vega_call_put(B23,C23,$D$1,$D$4,$D$2)</f>
        <v>0.4007666402508322</v>
      </c>
      <c r="G23" s="19" cm="1">
        <f t="array" ref="G23">theta_call(B23,C23,$D$1,$D$4,$D$2)</f>
        <v>-5.1652977929186656</v>
      </c>
      <c r="H23" s="19" cm="1">
        <f t="array" ref="H23">rho_call(B23,C23,$D$1,$D$4,$D$2)</f>
        <v>0.46898213445016707</v>
      </c>
      <c r="I23" s="27" cm="1">
        <f t="array" ref="I23">gamma_call_put(B23,C23,$D$1,$D$4,$D$2)</f>
        <v>1.8162979740015739E-2</v>
      </c>
      <c r="J23" s="18" cm="1">
        <f t="array" ref="J23">BSM_put(B23,C23,$D$1,$D$4,$D$2)</f>
        <v>9.1445077744476055</v>
      </c>
      <c r="K23" s="20" cm="1">
        <f t="array" ref="K23">delta_put(B23,C23,$D$1,$D$4,$D$2)</f>
        <v>-0.46868303124705379</v>
      </c>
      <c r="L23" s="19" cm="1">
        <f t="array" ref="L23">vega_call_put(B23,C23,$D$1,$D$4,$D$2)</f>
        <v>0.4007666402508322</v>
      </c>
      <c r="M23" s="19" cm="1">
        <f t="array" ref="M23">theta_put(B23,C23,$D$1,$D$4,$D$2)</f>
        <v>-2.4500120470119584</v>
      </c>
      <c r="N23" s="19" cm="1">
        <f t="array" ref="N23">rho_put(B23,C23,$D$1,$D$4,$D$2)</f>
        <v>-0.59504352986843345</v>
      </c>
      <c r="O23" s="27" cm="1">
        <f t="array" ref="O23">gamma_call_put(B23,C23,$D$1,$D$4,$D$2)</f>
        <v>1.8162979740015739E-2</v>
      </c>
    </row>
    <row r="24" spans="1:15" x14ac:dyDescent="0.35">
      <c r="A24" s="12" t="s">
        <v>10</v>
      </c>
      <c r="B24" s="22">
        <v>87.5</v>
      </c>
      <c r="C24" s="19">
        <v>90</v>
      </c>
      <c r="D24" s="18" cm="1">
        <f t="array" ref="D24">BSM_call(B24,C24,$D$1,$D$4,$D$2)</f>
        <v>8.0303254416222103</v>
      </c>
      <c r="E24" s="19" cm="1">
        <f t="array" ref="E24">delta_call(B24,C24,$D$1,$D$4,$D$2)</f>
        <v>0.54974534593074864</v>
      </c>
      <c r="F24" s="19" cm="1">
        <f t="array" ref="F24">vega_call_put(B24,C24,$D$1,$D$4,$D$2)</f>
        <v>0.36280353830741019</v>
      </c>
      <c r="G24" s="19" cm="1">
        <f t="array" ref="G24">theta_call(B24,C24,$D$1,$D$4,$D$2)</f>
        <v>-4.7146086553816309</v>
      </c>
      <c r="H24" s="19" cm="1">
        <f t="array" ref="H24">rho_call(B24,C24,$D$1,$D$4,$D$2)</f>
        <v>0.43968319359140912</v>
      </c>
      <c r="I24" s="27" cm="1">
        <f t="array" ref="I24">gamma_call_put(B24,C24,$D$1,$D$4,$D$2)</f>
        <v>1.98747231026246E-2</v>
      </c>
      <c r="J24" s="18" cm="1">
        <f t="array" ref="J24">BSM_put(B24,C24,$D$1,$D$4,$D$2)</f>
        <v>7.8073672743377891</v>
      </c>
      <c r="K24" s="20" cm="1">
        <f t="array" ref="K24">delta_put(B24,C24,$D$1,$D$4,$D$2)</f>
        <v>-0.45025465406925136</v>
      </c>
      <c r="L24" s="19" cm="1">
        <f t="array" ref="L24">vega_call_put(B24,C24,$D$1,$D$4,$D$2)</f>
        <v>0.36280353830741019</v>
      </c>
      <c r="M24" s="19" cm="1">
        <f t="array" ref="M24">theta_put(B24,C24,$D$1,$D$4,$D$2)</f>
        <v>-2.2708514840655947</v>
      </c>
      <c r="N24" s="19" cm="1">
        <f t="array" ref="N24">rho_put(B24,C24,$D$1,$D$4,$D$2)</f>
        <v>-0.51793990429533143</v>
      </c>
      <c r="O24" s="27" cm="1">
        <f t="array" ref="O24">gamma_call_put(B24,C24,$D$1,$D$4,$D$2)</f>
        <v>1.98747231026246E-2</v>
      </c>
    </row>
    <row r="25" spans="1:15" x14ac:dyDescent="0.35">
      <c r="A25" s="11" t="s">
        <v>31</v>
      </c>
      <c r="B25" s="21">
        <v>83.7</v>
      </c>
      <c r="C25" s="20">
        <v>80</v>
      </c>
      <c r="D25" s="18" cm="1">
        <f t="array" ref="D25">BSM_call(B25,C25,$D$1,$D$4,$D$2)</f>
        <v>10.767938089134047</v>
      </c>
      <c r="E25" s="19" cm="1">
        <f t="array" ref="E25">delta_call(B25,C25,$D$1,$D$4,$D$2)</f>
        <v>0.67271193705019905</v>
      </c>
      <c r="F25" s="19" cm="1">
        <f t="array" ref="F25">vega_call_put(B25,C25,$D$1,$D$4,$D$2)</f>
        <v>0.31645679811069005</v>
      </c>
      <c r="G25" s="19" cm="1">
        <f t="array" ref="G25">theta_call(B25,C25,$D$1,$D$4,$D$2)</f>
        <v>-4.4087087712767454</v>
      </c>
      <c r="H25" s="19" cm="1">
        <f t="array" ref="H25">rho_call(B25,C25,$D$1,$D$4,$D$2)</f>
        <v>0.49965361559936694</v>
      </c>
      <c r="I25" s="27" cm="1">
        <f t="array" ref="I25">gamma_call_put(B25,C25,$D$1,$D$4,$D$2)</f>
        <v>1.894563614972648E-2</v>
      </c>
      <c r="J25" s="18" cm="1">
        <f t="array" ref="J25">BSM_put(B25,C25,$D$1,$D$4,$D$2)</f>
        <v>4.6475308293256692</v>
      </c>
      <c r="K25" s="20" cm="1">
        <f t="array" ref="K25">delta_put(B25,C25,$D$1,$D$4,$D$2)</f>
        <v>-0.32728806294980095</v>
      </c>
      <c r="L25" s="19" cm="1">
        <f t="array" ref="L25">vega_call_put(B25,C25,$D$1,$D$4,$D$2)</f>
        <v>0.31645679811069005</v>
      </c>
      <c r="M25" s="19" cm="1">
        <f t="array" ref="M25">theta_put(B25,C25,$D$1,$D$4,$D$2)</f>
        <v>-2.2364801745513803</v>
      </c>
      <c r="N25" s="19" cm="1">
        <f t="array" ref="N25">rho_put(B25,C25,$D$1,$D$4,$D$2)</f>
        <v>-0.35156691585551342</v>
      </c>
      <c r="O25" s="27" cm="1">
        <f t="array" ref="O25">gamma_call_put(B25,C25,$D$1,$D$4,$D$2)</f>
        <v>1.894563614972648E-2</v>
      </c>
    </row>
    <row r="26" spans="1:15" x14ac:dyDescent="0.35">
      <c r="A26" s="11" t="s">
        <v>41</v>
      </c>
      <c r="B26" s="21">
        <v>79.790000000000006</v>
      </c>
      <c r="C26" s="20">
        <v>80</v>
      </c>
      <c r="D26" s="18" cm="1">
        <f t="array" ref="D26">BSM_call(B26,C26,$D$1,$D$4,$D$2)</f>
        <v>8.2889014270176276</v>
      </c>
      <c r="E26" s="19" cm="1">
        <f t="array" ref="E26">delta_call(B26,C26,$D$1,$D$4,$D$2)</f>
        <v>0.59376239869832559</v>
      </c>
      <c r="F26" s="19" cm="1">
        <f t="array" ref="F26">vega_call_put(B26,C26,$D$1,$D$4,$D$2)</f>
        <v>0.32417892682090976</v>
      </c>
      <c r="G26" s="19" cm="1">
        <f t="array" ref="G26">theta_call(B26,C26,$D$1,$D$4,$D$2)</f>
        <v>-4.3045572212798806</v>
      </c>
      <c r="H26" s="19" cm="1">
        <f t="array" ref="H26">rho_call(B26,C26,$D$1,$D$4,$D$2)</f>
        <v>0.42887564289508617</v>
      </c>
      <c r="I26" s="27" cm="1">
        <f t="array" ref="I26">gamma_call_put(B26,C26,$D$1,$D$4,$D$2)</f>
        <v>2.1356669598301199E-2</v>
      </c>
      <c r="J26" s="18" cm="1">
        <f t="array" ref="J26">BSM_put(B26,C26,$D$1,$D$4,$D$2)</f>
        <v>6.0784941672092456</v>
      </c>
      <c r="K26" s="20" cm="1">
        <f t="array" ref="K26">delta_put(B26,C26,$D$1,$D$4,$D$2)</f>
        <v>-0.40623760130167441</v>
      </c>
      <c r="L26" s="19" cm="1">
        <f t="array" ref="L26">vega_call_put(B26,C26,$D$1,$D$4,$D$2)</f>
        <v>0.32417892682090976</v>
      </c>
      <c r="M26" s="19" cm="1">
        <f t="array" ref="M26">theta_put(B26,C26,$D$1,$D$4,$D$2)</f>
        <v>-2.1323286245545154</v>
      </c>
      <c r="N26" s="19" cm="1">
        <f t="array" ref="N26">rho_put(B26,C26,$D$1,$D$4,$D$2)</f>
        <v>-0.42234488855979424</v>
      </c>
      <c r="O26" s="27" cm="1">
        <f t="array" ref="O26">gamma_call_put(B26,C26,$D$1,$D$4,$D$2)</f>
        <v>2.1356669598301199E-2</v>
      </c>
    </row>
    <row r="27" spans="1:15" x14ac:dyDescent="0.35">
      <c r="A27" s="11" t="s">
        <v>35</v>
      </c>
      <c r="B27" s="21">
        <v>75.2</v>
      </c>
      <c r="C27" s="20">
        <v>80</v>
      </c>
      <c r="D27" s="18" cm="1">
        <f t="array" ref="D27">BSM_call(B27,C27,$D$1,$D$4,$D$2)</f>
        <v>5.7963941205819483</v>
      </c>
      <c r="E27" s="19" cm="1">
        <f t="array" ref="E27">delta_call(B27,C27,$D$1,$D$4,$D$2)</f>
        <v>0.49080247107255764</v>
      </c>
      <c r="F27" s="19" cm="1">
        <f t="array" ref="F27">vega_call_put(B27,C27,$D$1,$D$4,$D$2)</f>
        <v>0.31416642103219927</v>
      </c>
      <c r="G27" s="19" cm="1">
        <f t="array" ref="G27">theta_call(B27,C27,$D$1,$D$4,$D$2)</f>
        <v>-3.9820980381579911</v>
      </c>
      <c r="H27" s="19" cm="1">
        <f t="array" ref="H27">rho_call(B27,C27,$D$1,$D$4,$D$2)</f>
        <v>0.34136724786414957</v>
      </c>
      <c r="I27" s="27" cm="1">
        <f t="array" ref="I27">gamma_call_put(B27,C27,$D$1,$D$4,$D$2)</f>
        <v>2.3300742596044786E-2</v>
      </c>
      <c r="J27" s="18" cm="1">
        <f t="array" ref="J27">BSM_put(B27,C27,$D$1,$D$4,$D$2)</f>
        <v>8.1759868607735715</v>
      </c>
      <c r="K27" s="20" cm="1">
        <f t="array" ref="K27">delta_put(B27,C27,$D$1,$D$4,$D$2)</f>
        <v>-0.50919752892744241</v>
      </c>
      <c r="L27" s="19" cm="1">
        <f t="array" ref="L27">vega_call_put(B27,C27,$D$1,$D$4,$D$2)</f>
        <v>0.31416642103219927</v>
      </c>
      <c r="M27" s="19" cm="1">
        <f t="array" ref="M27">theta_put(B27,C27,$D$1,$D$4,$D$2)</f>
        <v>-1.809869441432626</v>
      </c>
      <c r="N27" s="19" cm="1">
        <f t="array" ref="N27">rho_put(B27,C27,$D$1,$D$4,$D$2)</f>
        <v>-0.50985328359073079</v>
      </c>
      <c r="O27" s="27" cm="1">
        <f t="array" ref="O27">gamma_call_put(B27,C27,$D$1,$D$4,$D$2)</f>
        <v>2.3300742596044786E-2</v>
      </c>
    </row>
    <row r="28" spans="1:15" x14ac:dyDescent="0.35">
      <c r="A28" s="12" t="s">
        <v>34</v>
      </c>
      <c r="B28" s="22">
        <v>73.02</v>
      </c>
      <c r="C28" s="19">
        <v>70</v>
      </c>
      <c r="D28" s="18" cm="1">
        <f t="array" ref="D28">BSM_call(B28,C28,$D$1,$D$4,$D$2)</f>
        <v>9.2761446234785883</v>
      </c>
      <c r="E28" s="19" cm="1">
        <f t="array" ref="E28">delta_call(B28,C28,$D$1,$D$4,$D$2)</f>
        <v>0.66798190796476398</v>
      </c>
      <c r="F28" s="19" cm="1">
        <f t="array" ref="F28">vega_call_put(B28,C28,$D$1,$D$4,$D$2)</f>
        <v>0.27767239078213074</v>
      </c>
      <c r="G28" s="19" cm="1">
        <f t="array" ref="G28">theta_call(B28,C28,$D$1,$D$4,$D$2)</f>
        <v>-3.8555863803042678</v>
      </c>
      <c r="H28" s="19" cm="1">
        <f t="array" ref="H28">rho_call(B28,C28,$D$1,$D$4,$D$2)</f>
        <v>0.43340161797119026</v>
      </c>
      <c r="I28" s="27" cm="1">
        <f t="array" ref="I28">gamma_call_put(B28,C28,$D$1,$D$4,$D$2)</f>
        <v>2.184211660108271E-2</v>
      </c>
      <c r="J28" s="18" cm="1">
        <f t="array" ref="J28">BSM_put(B28,C28,$D$1,$D$4,$D$2)</f>
        <v>4.1382882711462647</v>
      </c>
      <c r="K28" s="20" cm="1">
        <f t="array" ref="K28">delta_put(B28,C28,$D$1,$D$4,$D$2)</f>
        <v>-0.33201809203523602</v>
      </c>
      <c r="L28" s="19" cm="1">
        <f t="array" ref="L28">vega_call_put(B28,C28,$D$1,$D$4,$D$2)</f>
        <v>0.27767239078213074</v>
      </c>
      <c r="M28" s="19" cm="1">
        <f t="array" ref="M28">theta_put(B28,C28,$D$1,$D$4,$D$2)</f>
        <v>-1.9548863581695726</v>
      </c>
      <c r="N28" s="19" cm="1">
        <f t="array" ref="N28">rho_put(B28,C28,$D$1,$D$4,$D$2)</f>
        <v>-0.31141634705183013</v>
      </c>
      <c r="O28" s="27" cm="1">
        <f t="array" ref="O28">gamma_call_put(B28,C28,$D$1,$D$4,$D$2)</f>
        <v>2.184211660108271E-2</v>
      </c>
    </row>
    <row r="29" spans="1:15" x14ac:dyDescent="0.35">
      <c r="A29" s="11" t="s">
        <v>37</v>
      </c>
      <c r="B29" s="21">
        <v>66.510000000000005</v>
      </c>
      <c r="C29" s="20">
        <v>65</v>
      </c>
      <c r="D29" s="18" cm="1">
        <f t="array" ref="D29">BSM_call(B29,C29,$D$1,$D$4,$D$2)</f>
        <v>7.7690648325902192</v>
      </c>
      <c r="E29" s="19" cm="1">
        <f t="array" ref="E29">delta_call(B29,C29,$D$1,$D$4,$D$2)</f>
        <v>0.63670851062611233</v>
      </c>
      <c r="F29" s="19" cm="1">
        <f t="array" ref="F29">vega_call_put(B29,C29,$D$1,$D$4,$D$2)</f>
        <v>0.26145275662570766</v>
      </c>
      <c r="G29" s="19" cm="1">
        <f t="array" ref="G29">theta_call(B29,C29,$D$1,$D$4,$D$2)</f>
        <v>-3.5571737155924543</v>
      </c>
      <c r="H29" s="19" cm="1">
        <f t="array" ref="H29">rho_call(B29,C29,$D$1,$D$4,$D$2)</f>
        <v>0.3794020886837568</v>
      </c>
      <c r="I29" s="27" cm="1">
        <f t="array" ref="I29">gamma_call_put(B29,C29,$D$1,$D$4,$D$2)</f>
        <v>2.4789342523414751E-2</v>
      </c>
      <c r="J29" s="18" cm="1">
        <f t="array" ref="J29">BSM_put(B29,C29,$D$1,$D$4,$D$2)</f>
        <v>4.2924839339959089</v>
      </c>
      <c r="K29" s="20" cm="1">
        <f t="array" ref="K29">delta_put(B29,C29,$D$1,$D$4,$D$2)</f>
        <v>-0.36329148937388767</v>
      </c>
      <c r="L29" s="19" cm="1">
        <f t="array" ref="L29">vega_call_put(B29,C29,$D$1,$D$4,$D$2)</f>
        <v>0.26145275662570766</v>
      </c>
      <c r="M29" s="19" cm="1">
        <f t="array" ref="M29">theta_put(B29,C29,$D$1,$D$4,$D$2)</f>
        <v>-1.792237980753095</v>
      </c>
      <c r="N29" s="19" cm="1">
        <f t="array" ref="N29">rho_put(B29,C29,$D$1,$D$4,$D$2)</f>
        <v>-0.31221459312333355</v>
      </c>
      <c r="O29" s="27" cm="1">
        <f t="array" ref="O29">gamma_call_put(B29,C29,$D$1,$D$4,$D$2)</f>
        <v>2.4789342523414751E-2</v>
      </c>
    </row>
    <row r="30" spans="1:15" x14ac:dyDescent="0.35">
      <c r="A30" s="12" t="s">
        <v>16</v>
      </c>
      <c r="B30" s="22">
        <v>63.5</v>
      </c>
      <c r="C30" s="19">
        <v>60</v>
      </c>
      <c r="D30" s="18" cm="1">
        <f t="array" ref="D30">BSM_call(B30,C30,$D$1,$D$4,$D$2)</f>
        <v>8.5702322651884586</v>
      </c>
      <c r="E30" s="19" cm="1">
        <f t="array" ref="E30">delta_call(B30,C30,$D$1,$D$4,$D$2)</f>
        <v>0.69070954585872557</v>
      </c>
      <c r="F30" s="19" cm="1">
        <f t="array" ref="F30">vega_call_put(B30,C30,$D$1,$D$4,$D$2)</f>
        <v>0.23442688807295198</v>
      </c>
      <c r="G30" s="19" cm="1">
        <f t="array" ref="G30">theta_call(B30,C30,$D$1,$D$4,$D$2)</f>
        <v>-3.3094753982470921</v>
      </c>
      <c r="H30" s="19" cm="1">
        <f t="array" ref="H30">rho_call(B30,C30,$D$1,$D$4,$D$2)</f>
        <v>0.38720778997922345</v>
      </c>
      <c r="I30" s="27" cm="1">
        <f t="array" ref="I30">gamma_call_put(B30,C30,$D$1,$D$4,$D$2)</f>
        <v>2.4384039362838523E-2</v>
      </c>
      <c r="J30" s="18" cm="1">
        <f t="array" ref="J30">BSM_put(B30,C30,$D$1,$D$4,$D$2)</f>
        <v>3.2549268203321771</v>
      </c>
      <c r="K30" s="20" cm="1">
        <f t="array" ref="K30">delta_put(B30,C30,$D$1,$D$4,$D$2)</f>
        <v>-0.30929045414127443</v>
      </c>
      <c r="L30" s="19" cm="1">
        <f t="array" ref="L30">vega_call_put(B30,C30,$D$1,$D$4,$D$2)</f>
        <v>0.23442688807295198</v>
      </c>
      <c r="M30" s="19" cm="1">
        <f t="array" ref="M30">theta_put(B30,C30,$D$1,$D$4,$D$2)</f>
        <v>-1.6803039507030679</v>
      </c>
      <c r="N30" s="19" cm="1">
        <f t="array" ref="N30">rho_put(B30,C30,$D$1,$D$4,$D$2)</f>
        <v>-0.25120760861193686</v>
      </c>
      <c r="O30" s="27" cm="1">
        <f t="array" ref="O30">gamma_call_put(B30,C30,$D$1,$D$4,$D$2)</f>
        <v>2.4384039362838523E-2</v>
      </c>
    </row>
    <row r="31" spans="1:15" x14ac:dyDescent="0.35">
      <c r="A31" s="12" t="s">
        <v>30</v>
      </c>
      <c r="B31" s="22">
        <v>63.2</v>
      </c>
      <c r="C31" s="19">
        <v>60</v>
      </c>
      <c r="D31" s="18" cm="1">
        <f t="array" ref="D31">BSM_call(B31,C31,$D$1,$D$4,$D$2)</f>
        <v>8.3641221783241644</v>
      </c>
      <c r="E31" s="19" cm="1">
        <f t="array" ref="E31">delta_call(B31,C31,$D$1,$D$4,$D$2)</f>
        <v>0.6833394255863714</v>
      </c>
      <c r="F31" s="19" cm="1">
        <f t="array" ref="F31">vega_call_put(B31,C31,$D$1,$D$4,$D$2)</f>
        <v>0.23569763583415299</v>
      </c>
      <c r="G31" s="19" cm="1">
        <f t="array" ref="G31">theta_call(B31,C31,$D$1,$D$4,$D$2)</f>
        <v>-3.308985653870657</v>
      </c>
      <c r="H31" s="19" cm="1">
        <f t="array" ref="H31">rho_call(B31,C31,$D$1,$D$4,$D$2)</f>
        <v>0.38208492110833703</v>
      </c>
      <c r="I31" s="27" cm="1">
        <f t="array" ref="I31">gamma_call_put(B31,C31,$D$1,$D$4,$D$2)</f>
        <v>2.47495181822317E-2</v>
      </c>
      <c r="J31" s="18" cm="1">
        <f t="array" ref="J31">BSM_put(B31,C31,$D$1,$D$4,$D$2)</f>
        <v>3.34881673346788</v>
      </c>
      <c r="K31" s="20" cm="1">
        <f t="array" ref="K31">delta_put(B31,C31,$D$1,$D$4,$D$2)</f>
        <v>-0.3166605744136286</v>
      </c>
      <c r="L31" s="19" cm="1">
        <f t="array" ref="L31">vega_call_put(B31,C31,$D$1,$D$4,$D$2)</f>
        <v>0.23569763583415299</v>
      </c>
      <c r="M31" s="19" cm="1">
        <f t="array" ref="M31">theta_put(B31,C31,$D$1,$D$4,$D$2)</f>
        <v>-1.6798142063266326</v>
      </c>
      <c r="N31" s="19" cm="1">
        <f t="array" ref="N31">rho_put(B31,C31,$D$1,$D$4,$D$2)</f>
        <v>-0.25633047748282328</v>
      </c>
      <c r="O31" s="27" cm="1">
        <f t="array" ref="O31">gamma_call_put(B31,C31,$D$1,$D$4,$D$2)</f>
        <v>2.47495181822317E-2</v>
      </c>
    </row>
    <row r="32" spans="1:15" x14ac:dyDescent="0.35">
      <c r="A32" s="11" t="s">
        <v>21</v>
      </c>
      <c r="B32" s="21">
        <v>61.3</v>
      </c>
      <c r="C32" s="20">
        <v>60</v>
      </c>
      <c r="D32" s="18" cm="1">
        <f t="array" ref="D32">BSM_call(B32,C32,$D$1,$D$4,$D$2)</f>
        <v>7.1118102264696619</v>
      </c>
      <c r="E32" s="19" cm="1">
        <f t="array" ref="E32">delta_call(B32,C32,$D$1,$D$4,$D$2)</f>
        <v>0.63418338567105814</v>
      </c>
      <c r="F32" s="19" cm="1">
        <f t="array" ref="F32">vega_call_put(B32,C32,$D$1,$D$4,$D$2)</f>
        <v>0.24153360640747887</v>
      </c>
      <c r="G32" s="19" cm="1">
        <f t="array" ref="G32">theta_call(B32,C32,$D$1,$D$4,$D$2)</f>
        <v>-3.2811147099948124</v>
      </c>
      <c r="H32" s="19" cm="1">
        <f t="array" ref="H32">rho_call(B32,C32,$D$1,$D$4,$D$2)</f>
        <v>0.34851762137474029</v>
      </c>
      <c r="I32" s="27" cm="1">
        <f t="array" ref="I32">gamma_call_put(B32,C32,$D$1,$D$4,$D$2)</f>
        <v>2.6958907945483359E-2</v>
      </c>
      <c r="J32" s="18" cm="1">
        <f t="array" ref="J32">BSM_put(B32,C32,$D$1,$D$4,$D$2)</f>
        <v>3.9965047816133836</v>
      </c>
      <c r="K32" s="20" cm="1">
        <f t="array" ref="K32">delta_put(B32,C32,$D$1,$D$4,$D$2)</f>
        <v>-0.36581661432894186</v>
      </c>
      <c r="L32" s="19" cm="1">
        <f t="array" ref="L32">vega_call_put(B32,C32,$D$1,$D$4,$D$2)</f>
        <v>0.24153360640747887</v>
      </c>
      <c r="M32" s="19" cm="1">
        <f t="array" ref="M32">theta_put(B32,C32,$D$1,$D$4,$D$2)</f>
        <v>-1.6519432624507882</v>
      </c>
      <c r="N32" s="19" cm="1">
        <f t="array" ref="N32">rho_put(B32,C32,$D$1,$D$4,$D$2)</f>
        <v>-0.28989777721641996</v>
      </c>
      <c r="O32" s="27" cm="1">
        <f t="array" ref="O32">gamma_call_put(B32,C32,$D$1,$D$4,$D$2)</f>
        <v>2.6958907945483359E-2</v>
      </c>
    </row>
    <row r="33" spans="1:16" x14ac:dyDescent="0.35">
      <c r="A33" s="11" t="s">
        <v>39</v>
      </c>
      <c r="B33" s="21">
        <v>52.15</v>
      </c>
      <c r="C33" s="20">
        <v>55</v>
      </c>
      <c r="D33" s="18" cm="1">
        <f t="array" ref="D33">BSM_call(B33,C33,$D$1,$D$4,$D$2)</f>
        <v>4.2093043089300535</v>
      </c>
      <c r="E33" s="19" cm="1">
        <f t="array" ref="E33">delta_call(B33,C33,$D$1,$D$4,$D$2)</f>
        <v>0.50599087116981456</v>
      </c>
      <c r="F33" s="19" cm="1">
        <f t="array" ref="F33">vega_call_put(B33,C33,$D$1,$D$4,$D$2)</f>
        <v>0.21790274644767585</v>
      </c>
      <c r="G33" s="19" cm="1">
        <f t="array" ref="G33">theta_call(B33,C33,$D$1,$D$4,$D$2)</f>
        <v>-2.778721026534499</v>
      </c>
      <c r="H33" s="19" cm="1">
        <f t="array" ref="H33">rho_call(B33,C33,$D$1,$D$4,$D$2)</f>
        <v>0.24334325696992867</v>
      </c>
      <c r="I33" s="27" cm="1">
        <f t="array" ref="I33">gamma_call_put(B33,C33,$D$1,$D$4,$D$2)</f>
        <v>3.3604679476302295E-2</v>
      </c>
      <c r="J33" s="18" cm="1">
        <f t="array" ref="J33">BSM_put(B33,C33,$D$1,$D$4,$D$2)</f>
        <v>5.395274317811797</v>
      </c>
      <c r="K33" s="20" cm="1">
        <f t="array" ref="K33">delta_put(B33,C33,$D$1,$D$4,$D$2)</f>
        <v>-0.49400912883018544</v>
      </c>
      <c r="L33" s="19" cm="1">
        <f t="array" ref="L33">vega_call_put(B33,C33,$D$1,$D$4,$D$2)</f>
        <v>0.21790274644767585</v>
      </c>
      <c r="M33" s="19" cm="1">
        <f t="array" ref="M33">theta_put(B33,C33,$D$1,$D$4,$D$2)</f>
        <v>-1.2853138662858103</v>
      </c>
      <c r="N33" s="19" cm="1">
        <f t="array" ref="N33">rho_put(B33,C33,$D$1,$D$4,$D$2)</f>
        <v>-0.34187085840530163</v>
      </c>
      <c r="O33" s="27" cm="1">
        <f t="array" ref="O33">gamma_call_put(B33,C33,$D$1,$D$4,$D$2)</f>
        <v>3.3604679476302295E-2</v>
      </c>
    </row>
    <row r="34" spans="1:16" x14ac:dyDescent="0.35">
      <c r="A34" s="12" t="s">
        <v>8</v>
      </c>
      <c r="B34" s="22">
        <v>51.26</v>
      </c>
      <c r="C34" s="19">
        <v>50</v>
      </c>
      <c r="D34" s="18" cm="1">
        <f t="array" ref="D34">BSM_call(B34,C34,$D$1,$D$4,$D$2)</f>
        <v>6.039050973227889</v>
      </c>
      <c r="E34" s="19" cm="1">
        <f t="array" ref="E34">delta_call(B34,C34,$D$1,$D$4,$D$2)</f>
        <v>0.63987378253250715</v>
      </c>
      <c r="F34" s="19" cm="1">
        <f t="array" ref="F34">vega_call_put(B34,C34,$D$1,$D$4,$D$2)</f>
        <v>0.200903092429047</v>
      </c>
      <c r="G34" s="19" cm="1">
        <f t="array" ref="G34">theta_call(B34,C34,$D$1,$D$4,$D$2)</f>
        <v>-2.7387029842719248</v>
      </c>
      <c r="H34" s="19" cm="1">
        <f t="array" ref="H34">rho_call(B34,C34,$D$1,$D$4,$D$2)</f>
        <v>0.29362631255995636</v>
      </c>
      <c r="I34" s="27" cm="1">
        <f t="array" ref="I34">gamma_call_put(B34,C34,$D$1,$D$4,$D$2)</f>
        <v>3.2068237906448756E-2</v>
      </c>
      <c r="J34" s="18" cm="1">
        <f t="array" ref="J34">BSM_put(B34,C34,$D$1,$D$4,$D$2)</f>
        <v>3.2662964358476567</v>
      </c>
      <c r="K34" s="20" cm="1">
        <f t="array" ref="K34">delta_put(B34,C34,$D$1,$D$4,$D$2)</f>
        <v>-0.36012621746749285</v>
      </c>
      <c r="L34" s="19" cm="1">
        <f t="array" ref="L34">vega_call_put(B34,C34,$D$1,$D$4,$D$2)</f>
        <v>0.200903092429047</v>
      </c>
      <c r="M34" s="19" cm="1">
        <f t="array" ref="M34">theta_put(B34,C34,$D$1,$D$4,$D$2)</f>
        <v>-1.3810601113185712</v>
      </c>
      <c r="N34" s="19" cm="1">
        <f t="array" ref="N34">rho_put(B34,C34,$D$1,$D$4,$D$2)</f>
        <v>-0.23838651959934387</v>
      </c>
      <c r="O34" s="27" cm="1">
        <f t="array" ref="O34">gamma_call_put(B34,C34,$D$1,$D$4,$D$2)</f>
        <v>3.2068237906448756E-2</v>
      </c>
    </row>
    <row r="35" spans="1:16" x14ac:dyDescent="0.35">
      <c r="A35" s="11" t="s">
        <v>11</v>
      </c>
      <c r="B35" s="21">
        <v>49.71</v>
      </c>
      <c r="C35" s="20">
        <v>50</v>
      </c>
      <c r="D35" s="18" cm="1">
        <f t="array" ref="D35">BSM_call(B35,C35,$D$1,$D$4,$D$2)</f>
        <v>5.086735116542255</v>
      </c>
      <c r="E35" s="19" cm="1">
        <f t="array" ref="E35">delta_call(B35,C35,$D$1,$D$4,$D$2)</f>
        <v>0.58832029246342521</v>
      </c>
      <c r="F35" s="19" cm="1">
        <f t="array" ref="F35">vega_call_put(B35,C35,$D$1,$D$4,$D$2)</f>
        <v>0.20261924249365398</v>
      </c>
      <c r="G35" s="19" cm="1">
        <f t="array" ref="G35">theta_call(B35,C35,$D$1,$D$4,$D$2)</f>
        <v>-2.6828348301948042</v>
      </c>
      <c r="H35" s="19" cm="1">
        <f t="array" ref="H35">rho_call(B35,C35,$D$1,$D$4,$D$2)</f>
        <v>0.26507425876713259</v>
      </c>
      <c r="I35" s="27" cm="1">
        <f t="array" ref="I35">gamma_call_put(B35,C35,$D$1,$D$4,$D$2)</f>
        <v>3.4390527706955845E-2</v>
      </c>
      <c r="J35" s="18" cm="1">
        <f t="array" ref="J35">BSM_put(B35,C35,$D$1,$D$4,$D$2)</f>
        <v>3.8639805791620199</v>
      </c>
      <c r="K35" s="20" cm="1">
        <f t="array" ref="K35">delta_put(B35,C35,$D$1,$D$4,$D$2)</f>
        <v>-0.41167970753657479</v>
      </c>
      <c r="L35" s="19" cm="1">
        <f t="array" ref="L35">vega_call_put(B35,C35,$D$1,$D$4,$D$2)</f>
        <v>0.20261924249365398</v>
      </c>
      <c r="M35" s="19" cm="1">
        <f t="array" ref="M35">theta_put(B35,C35,$D$1,$D$4,$D$2)</f>
        <v>-1.3251919572414506</v>
      </c>
      <c r="N35" s="19" cm="1">
        <f t="array" ref="N35">rho_put(B35,C35,$D$1,$D$4,$D$2)</f>
        <v>-0.2669385733921677</v>
      </c>
      <c r="O35" s="27" cm="1">
        <f t="array" ref="O35">gamma_call_put(B35,C35,$D$1,$D$4,$D$2)</f>
        <v>3.4390527706955845E-2</v>
      </c>
    </row>
    <row r="36" spans="1:16" x14ac:dyDescent="0.35">
      <c r="A36" s="11" t="s">
        <v>5</v>
      </c>
      <c r="B36" s="21">
        <v>43.41</v>
      </c>
      <c r="C36" s="20">
        <v>45</v>
      </c>
      <c r="D36" s="18" cm="1">
        <f t="array" ref="D36">BSM_call(B36,C36,$D$1,$D$4,$D$2)</f>
        <v>3.830555861854426</v>
      </c>
      <c r="E36" s="19" cm="1">
        <f t="array" ref="E36">delta_call(B36,C36,$D$1,$D$4,$D$2)</f>
        <v>0.53615129980926235</v>
      </c>
      <c r="F36" s="19" cm="1">
        <f t="array" ref="F36">vega_call_put(B36,C36,$D$1,$D$4,$D$2)</f>
        <v>0.18065880157016403</v>
      </c>
      <c r="G36" s="19" cm="1">
        <f t="array" ref="G36">theta_call(B36,C36,$D$1,$D$4,$D$2)</f>
        <v>-2.3333593809540085</v>
      </c>
      <c r="H36" s="19" cm="1">
        <f t="array" ref="H36">rho_call(B36,C36,$D$1,$D$4,$D$2)</f>
        <v>0.21334138791199814</v>
      </c>
      <c r="I36" s="27" cm="1">
        <f t="array" ref="I36">gamma_call_put(B36,C36,$D$1,$D$4,$D$2)</f>
        <v>4.0209181445485721E-2</v>
      </c>
      <c r="J36" s="18" cm="1">
        <f t="array" ref="J36">BSM_put(B36,C36,$D$1,$D$4,$D$2)</f>
        <v>4.0590767782122184</v>
      </c>
      <c r="K36" s="20" cm="1">
        <f t="array" ref="K36">delta_put(B36,C36,$D$1,$D$4,$D$2)</f>
        <v>-0.46384870019073765</v>
      </c>
      <c r="L36" s="19" cm="1">
        <f t="array" ref="L36">vega_call_put(B36,C36,$D$1,$D$4,$D$2)</f>
        <v>0.18065880157016403</v>
      </c>
      <c r="M36" s="19" cm="1">
        <f t="array" ref="M36">theta_put(B36,C36,$D$1,$D$4,$D$2)</f>
        <v>-1.1114807952959906</v>
      </c>
      <c r="N36" s="19" cm="1">
        <f t="array" ref="N36">rho_put(B36,C36,$D$1,$D$4,$D$2)</f>
        <v>-0.26547016103137211</v>
      </c>
      <c r="O36" s="27" cm="1">
        <f t="array" ref="O36">gamma_call_put(B36,C36,$D$1,$D$4,$D$2)</f>
        <v>4.0209181445485721E-2</v>
      </c>
    </row>
    <row r="37" spans="1:16" x14ac:dyDescent="0.35">
      <c r="A37" s="11" t="s">
        <v>9</v>
      </c>
      <c r="B37" s="21">
        <v>40.33</v>
      </c>
      <c r="C37" s="20">
        <v>40</v>
      </c>
      <c r="D37" s="18" cm="1">
        <f t="array" ref="D37">BSM_call(B37,C37,$D$1,$D$4,$D$2)</f>
        <v>4.4067480654517297</v>
      </c>
      <c r="E37" s="19" cm="1">
        <f t="array" ref="E37">delta_call(B37,C37,$D$1,$D$4,$D$2)</f>
        <v>0.61213116187709571</v>
      </c>
      <c r="F37" s="19" cm="1">
        <f t="array" ref="F37">vega_call_put(B37,C37,$D$1,$D$4,$D$2)</f>
        <v>0.16183144361945467</v>
      </c>
      <c r="G37" s="19" cm="1">
        <f t="array" ref="G37">theta_call(B37,C37,$D$1,$D$4,$D$2)</f>
        <v>-2.1703540691095817</v>
      </c>
      <c r="H37" s="19" cm="1">
        <f t="array" ref="H37">rho_call(B37,C37,$D$1,$D$4,$D$2)</f>
        <v>0.22252217135431551</v>
      </c>
      <c r="I37" s="27" cm="1">
        <f t="array" ref="I37">gamma_call_put(B37,C37,$D$1,$D$4,$D$2)</f>
        <v>4.1730361131488099E-2</v>
      </c>
      <c r="J37" s="18" cm="1">
        <f t="array" ref="J37">BSM_put(B37,C37,$D$1,$D$4,$D$2)</f>
        <v>2.8665444355475445</v>
      </c>
      <c r="K37" s="20" cm="1">
        <f t="array" ref="K37">delta_put(B37,C37,$D$1,$D$4,$D$2)</f>
        <v>-0.38786883812290429</v>
      </c>
      <c r="L37" s="19" cm="1">
        <f t="array" ref="L37">vega_call_put(B37,C37,$D$1,$D$4,$D$2)</f>
        <v>0.16183144361945467</v>
      </c>
      <c r="M37" s="19" cm="1">
        <f t="array" ref="M37">theta_put(B37,C37,$D$1,$D$4,$D$2)</f>
        <v>-1.0842397707468991</v>
      </c>
      <c r="N37" s="19" cm="1">
        <f t="array" ref="N37">rho_put(B37,C37,$D$1,$D$4,$D$2)</f>
        <v>-0.20308809437312469</v>
      </c>
      <c r="O37" s="27" cm="1">
        <f t="array" ref="O37">gamma_call_put(B37,C37,$D$1,$D$4,$D$2)</f>
        <v>4.1730361131488099E-2</v>
      </c>
    </row>
    <row r="38" spans="1:16" x14ac:dyDescent="0.35">
      <c r="A38" s="11" t="s">
        <v>43</v>
      </c>
      <c r="B38" s="21">
        <v>34.270000000000003</v>
      </c>
      <c r="C38" s="20">
        <v>35</v>
      </c>
      <c r="D38" s="18" cm="1">
        <f t="array" ref="D38">BSM_call(B38,C38,$D$1,$D$4,$D$2)</f>
        <v>3.2575585186524512</v>
      </c>
      <c r="E38" s="19" cm="1">
        <f t="array" ref="E38">delta_call(B38,C38,$D$1,$D$4,$D$2)</f>
        <v>0.56205462013888929</v>
      </c>
      <c r="F38" s="19" cm="1">
        <f t="array" ref="F38">vega_call_put(B38,C38,$D$1,$D$4,$D$2)</f>
        <v>0.14147338261497791</v>
      </c>
      <c r="G38" s="19" cm="1">
        <f t="array" ref="G38">theta_call(B38,C38,$D$1,$D$4,$D$2)</f>
        <v>-1.8490223250825699</v>
      </c>
      <c r="H38" s="19" cm="1">
        <f t="array" ref="H38">rho_call(B38,C38,$D$1,$D$4,$D$2)</f>
        <v>0.17560002941209385</v>
      </c>
      <c r="I38" s="27" cm="1">
        <f t="array" ref="I38">gamma_call_put(B38,C38,$D$1,$D$4,$D$2)</f>
        <v>5.0523357956842867E-2</v>
      </c>
      <c r="J38" s="18" cm="1">
        <f t="array" ref="J38">BSM_put(B38,C38,$D$1,$D$4,$D$2)</f>
        <v>2.9286303424862838</v>
      </c>
      <c r="K38" s="20" cm="1">
        <f t="array" ref="K38">delta_put(B38,C38,$D$1,$D$4,$D$2)</f>
        <v>-0.43794537986111071</v>
      </c>
      <c r="L38" s="19" cm="1">
        <f t="array" ref="L38">vega_call_put(B38,C38,$D$1,$D$4,$D$2)</f>
        <v>0.14147338261497791</v>
      </c>
      <c r="M38" s="19" cm="1">
        <f t="array" ref="M38">theta_put(B38,C38,$D$1,$D$4,$D$2)</f>
        <v>-0.89867231401522252</v>
      </c>
      <c r="N38" s="19" cm="1">
        <f t="array" ref="N38">rho_put(B38,C38,$D$1,$D$4,$D$2)</f>
        <v>-0.19680895309941632</v>
      </c>
      <c r="O38" s="27" cm="1">
        <f t="array" ref="O38">gamma_call_put(B38,C38,$D$1,$D$4,$D$2)</f>
        <v>5.0523357956842867E-2</v>
      </c>
    </row>
    <row r="39" spans="1:16" x14ac:dyDescent="0.35">
      <c r="A39" s="12" t="s">
        <v>28</v>
      </c>
      <c r="B39" s="22">
        <v>30.79</v>
      </c>
      <c r="C39" s="19">
        <v>30</v>
      </c>
      <c r="D39" s="18" cm="1">
        <f t="array" ref="D39">BSM_call(B39,C39,$D$1,$D$4,$D$2)</f>
        <v>3.6452171556197825</v>
      </c>
      <c r="E39" s="19" cm="1">
        <f t="array" ref="E39">delta_call(B39,C39,$D$1,$D$4,$D$2)</f>
        <v>0.64168839420162427</v>
      </c>
      <c r="F39" s="19" cm="1">
        <f t="array" ref="F39">vega_call_put(B39,C39,$D$1,$D$4,$D$2)</f>
        <v>0.12046410129797043</v>
      </c>
      <c r="G39" s="19" cm="1">
        <f t="array" ref="G39">theta_call(B39,C39,$D$1,$D$4,$D$2)</f>
        <v>-1.6440153960691717</v>
      </c>
      <c r="H39" s="19" cm="1">
        <f t="array" ref="H39">rho_call(B39,C39,$D$1,$D$4,$D$2)</f>
        <v>0.17678848772861253</v>
      </c>
      <c r="I39" s="27" cm="1">
        <f t="array" ref="I39">gamma_call_put(B39,C39,$D$1,$D$4,$D$2)</f>
        <v>5.3294690689969552E-2</v>
      </c>
      <c r="J39" s="18" cm="1">
        <f t="array" ref="J39">BSM_put(B39,C39,$D$1,$D$4,$D$2)</f>
        <v>1.9475644331916429</v>
      </c>
      <c r="K39" s="20" cm="1">
        <f t="array" ref="K39">delta_put(B39,C39,$D$1,$D$4,$D$2)</f>
        <v>-0.35831160579837573</v>
      </c>
      <c r="L39" s="19" cm="1">
        <f t="array" ref="L39">vega_call_put(B39,C39,$D$1,$D$4,$D$2)</f>
        <v>0.12046410129797043</v>
      </c>
      <c r="M39" s="19" cm="1">
        <f t="array" ref="M39">theta_put(B39,C39,$D$1,$D$4,$D$2)</f>
        <v>-0.82942967229715958</v>
      </c>
      <c r="N39" s="19" cm="1">
        <f t="array" ref="N39">rho_put(B39,C39,$D$1,$D$4,$D$2)</f>
        <v>-0.14241921156696766</v>
      </c>
      <c r="O39" s="27" cm="1">
        <f t="array" ref="O39">gamma_call_put(B39,C39,$D$1,$D$4,$D$2)</f>
        <v>5.3294690689969552E-2</v>
      </c>
    </row>
    <row r="40" spans="1:16" x14ac:dyDescent="0.35">
      <c r="A40" s="12" t="s">
        <v>32</v>
      </c>
      <c r="B40" s="22">
        <v>28.06</v>
      </c>
      <c r="C40" s="19">
        <v>28</v>
      </c>
      <c r="D40" s="18" cm="1">
        <f t="array" ref="D40">BSM_call(B40,C40,$D$1,$D$4,$D$2)</f>
        <v>2.9809247452188123</v>
      </c>
      <c r="E40" s="19" cm="1">
        <f t="array" ref="E40">delta_call(B40,C40,$D$1,$D$4,$D$2)</f>
        <v>0.60186827824731082</v>
      </c>
      <c r="F40" s="19" cm="1">
        <f t="array" ref="F40">vega_call_put(B40,C40,$D$1,$D$4,$D$2)</f>
        <v>0.11341487132412904</v>
      </c>
      <c r="G40" s="19" cm="1">
        <f t="array" ref="G40">theta_call(B40,C40,$D$1,$D$4,$D$2)</f>
        <v>-1.5124756157269628</v>
      </c>
      <c r="H40" s="19" cm="1">
        <f t="array" ref="H40">rho_call(B40,C40,$D$1,$D$4,$D$2)</f>
        <v>0.15259617114578578</v>
      </c>
      <c r="I40" s="27" cm="1">
        <f t="array" ref="I40">gamma_call_put(B40,C40,$D$1,$D$4,$D$2)</f>
        <v>6.0414383742889433E-2</v>
      </c>
      <c r="J40" s="18" cm="1">
        <f t="array" ref="J40">BSM_put(B40,C40,$D$1,$D$4,$D$2)</f>
        <v>2.0737822042858824</v>
      </c>
      <c r="K40" s="20" cm="1">
        <f t="array" ref="K40">delta_put(B40,C40,$D$1,$D$4,$D$2)</f>
        <v>-0.39813172175268918</v>
      </c>
      <c r="L40" s="19" cm="1">
        <f t="array" ref="L40">vega_call_put(B40,C40,$D$1,$D$4,$D$2)</f>
        <v>0.11341487132412904</v>
      </c>
      <c r="M40" s="19" cm="1">
        <f t="array" ref="M40">theta_put(B40,C40,$D$1,$D$4,$D$2)</f>
        <v>-0.75219560687308473</v>
      </c>
      <c r="N40" s="19" cm="1">
        <f t="array" ref="N40">rho_put(B40,C40,$D$1,$D$4,$D$2)</f>
        <v>-0.14533101486342237</v>
      </c>
      <c r="O40" s="27" cm="1">
        <f t="array" ref="O40">gamma_call_put(B40,C40,$D$1,$D$4,$D$2)</f>
        <v>6.0414383742889433E-2</v>
      </c>
    </row>
    <row r="41" spans="1:16" x14ac:dyDescent="0.35">
      <c r="A41" s="11" t="s">
        <v>19</v>
      </c>
      <c r="B41" s="21">
        <v>27.03</v>
      </c>
      <c r="C41" s="20">
        <v>28</v>
      </c>
      <c r="D41" s="18" cm="1">
        <f t="array" ref="D41">BSM_call(B41,C41,$D$1,$D$4,$D$2)</f>
        <v>2.3938346455821886</v>
      </c>
      <c r="E41" s="19" cm="1">
        <f t="array" ref="E41">delta_call(B41,C41,$D$1,$D$4,$D$2)</f>
        <v>0.53740002944549448</v>
      </c>
      <c r="F41" s="19" cm="1">
        <f t="array" ref="F41">vega_call_put(B41,C41,$D$1,$D$4,$D$2)</f>
        <v>0.11245774184314966</v>
      </c>
      <c r="G41" s="19" cm="1">
        <f t="array" ref="G41">theta_call(B41,C41,$D$1,$D$4,$D$2)</f>
        <v>-1.4532863452859242</v>
      </c>
      <c r="H41" s="19" cm="1">
        <f t="array" ref="H41">rho_call(B41,C41,$D$1,$D$4,$D$2)</f>
        <v>0.13311596720500454</v>
      </c>
      <c r="I41" s="27" cm="1">
        <f t="array" ref="I41">gamma_call_put(B41,C41,$D$1,$D$4,$D$2)</f>
        <v>6.4556941396301429E-2</v>
      </c>
      <c r="J41" s="18" cm="1">
        <f t="array" ref="J41">BSM_put(B41,C41,$D$1,$D$4,$D$2)</f>
        <v>2.5166921046492563</v>
      </c>
      <c r="K41" s="20" cm="1">
        <f t="array" ref="K41">delta_put(B41,C41,$D$1,$D$4,$D$2)</f>
        <v>-0.46259997055450552</v>
      </c>
      <c r="L41" s="19" cm="1">
        <f t="array" ref="L41">vega_call_put(B41,C41,$D$1,$D$4,$D$2)</f>
        <v>0.11245774184314966</v>
      </c>
      <c r="M41" s="19" cm="1">
        <f t="array" ref="M41">theta_put(B41,C41,$D$1,$D$4,$D$2)</f>
        <v>-0.69300633643204634</v>
      </c>
      <c r="N41" s="19" cm="1">
        <f t="array" ref="N41">rho_put(B41,C41,$D$1,$D$4,$D$2)</f>
        <v>-0.16481121880420357</v>
      </c>
      <c r="O41" s="27" cm="1">
        <f t="array" ref="O41">gamma_call_put(B41,C41,$D$1,$D$4,$D$2)</f>
        <v>6.4556941396301429E-2</v>
      </c>
    </row>
    <row r="42" spans="1:16" x14ac:dyDescent="0.35">
      <c r="A42" s="12" t="s">
        <v>12</v>
      </c>
      <c r="B42" s="22">
        <v>26.71</v>
      </c>
      <c r="C42" s="19">
        <v>26</v>
      </c>
      <c r="D42" s="18" cm="1">
        <f t="array" ref="D42">BSM_call(B42,C42,$D$1,$D$4,$D$2)</f>
        <v>3.1754640240073777</v>
      </c>
      <c r="E42" s="19" cm="1">
        <f t="array" ref="E42">delta_call(B42,C42,$D$1,$D$4,$D$2)</f>
        <v>0.64324431798392423</v>
      </c>
      <c r="F42" s="19" cm="1">
        <f t="array" ref="F42">vega_call_put(B42,C42,$D$1,$D$4,$D$2)</f>
        <v>0.10434241836466912</v>
      </c>
      <c r="G42" s="19" cm="1">
        <f t="array" ref="G42">theta_call(B42,C42,$D$1,$D$4,$D$2)</f>
        <v>-1.4253842518908935</v>
      </c>
      <c r="H42" s="19" cm="1">
        <f t="array" ref="H42">rho_call(B42,C42,$D$1,$D$4,$D$2)</f>
        <v>0.15367246458862721</v>
      </c>
      <c r="I42" s="27" cm="1">
        <f t="array" ref="I42">gamma_call_put(B42,C42,$D$1,$D$4,$D$2)</f>
        <v>6.1342122792433181E-2</v>
      </c>
      <c r="J42" s="18" cm="1">
        <f t="array" ref="J42">BSM_put(B42,C42,$D$1,$D$4,$D$2)</f>
        <v>1.6788316645696553</v>
      </c>
      <c r="K42" s="20" cm="1">
        <f t="array" ref="K42">delta_put(B42,C42,$D$1,$D$4,$D$2)</f>
        <v>-0.35675568201607577</v>
      </c>
      <c r="L42" s="19" cm="1">
        <f t="array" ref="L42">vega_call_put(B42,C42,$D$1,$D$4,$D$2)</f>
        <v>0.10434241836466912</v>
      </c>
      <c r="M42" s="19" cm="1">
        <f t="array" ref="M42">theta_put(B42,C42,$D$1,$D$4,$D$2)</f>
        <v>-0.71940995795514973</v>
      </c>
      <c r="N42" s="19" cm="1">
        <f t="array" ref="N42">rho_put(B42,C42,$D$1,$D$4,$D$2)</f>
        <v>-0.12297420813420891</v>
      </c>
      <c r="O42" s="27" cm="1">
        <f t="array" ref="O42">gamma_call_put(B42,C42,$D$1,$D$4,$D$2)</f>
        <v>6.1342122792433181E-2</v>
      </c>
    </row>
    <row r="43" spans="1:16" x14ac:dyDescent="0.35">
      <c r="A43" s="11" t="s">
        <v>17</v>
      </c>
      <c r="B43" s="21">
        <v>20.28</v>
      </c>
      <c r="C43" s="20">
        <v>20</v>
      </c>
      <c r="D43" s="18" cm="1">
        <f t="array" ref="D43">BSM_call(B43,C43,$D$1,$D$4,$D$2)</f>
        <v>2.2743186205532449</v>
      </c>
      <c r="E43" s="19" cm="1">
        <f t="array" ref="E43">delta_call(B43,C43,$D$1,$D$4,$D$2)</f>
        <v>0.62166691164775933</v>
      </c>
      <c r="F43" s="19" cm="1">
        <f t="array" ref="F43">vega_call_put(B43,C43,$D$1,$D$4,$D$2)</f>
        <v>8.0774836536731343E-2</v>
      </c>
      <c r="G43" s="19" cm="1">
        <f t="array" ref="G43">theta_call(B43,C43,$D$1,$D$4,$D$2)</f>
        <v>-1.0891813433795625</v>
      </c>
      <c r="H43" s="19" cm="1">
        <f t="array" ref="H43">rho_call(B43,C43,$D$1,$D$4,$D$2)</f>
        <v>0.1133769196479725</v>
      </c>
      <c r="I43" s="27" cm="1">
        <f t="array" ref="I43">gamma_call_put(B43,C43,$D$1,$D$4,$D$2)</f>
        <v>8.237318628807061E-2</v>
      </c>
      <c r="J43" s="18" cm="1">
        <f t="array" ref="J43">BSM_put(B43,C43,$D$1,$D$4,$D$2)</f>
        <v>1.38921680560115</v>
      </c>
      <c r="K43" s="20" cm="1">
        <f t="array" ref="K43">delta_put(B43,C43,$D$1,$D$4,$D$2)</f>
        <v>-0.37833308835224067</v>
      </c>
      <c r="L43" s="19" cm="1">
        <f t="array" ref="L43">vega_call_put(B43,C43,$D$1,$D$4,$D$2)</f>
        <v>8.0774836536731343E-2</v>
      </c>
      <c r="M43" s="19" cm="1">
        <f t="array" ref="M43">theta_put(B43,C43,$D$1,$D$4,$D$2)</f>
        <v>-0.54612419419822111</v>
      </c>
      <c r="N43" s="19" cm="1">
        <f t="array" ref="N43">rho_put(B43,C43,$D$1,$D$4,$D$2)</f>
        <v>-9.9428213215747602E-2</v>
      </c>
      <c r="O43" s="27" cm="1">
        <f t="array" ref="O43">gamma_call_put(B43,C43,$D$1,$D$4,$D$2)</f>
        <v>8.237318628807061E-2</v>
      </c>
    </row>
    <row r="44" spans="1:16" x14ac:dyDescent="0.35">
      <c r="A44" s="11" t="s">
        <v>29</v>
      </c>
      <c r="B44" s="21">
        <v>18.739999999999998</v>
      </c>
      <c r="C44" s="20">
        <v>18</v>
      </c>
      <c r="D44" s="18" cm="1">
        <f t="array" ref="D44">BSM_call(B44,C44,$D$1,$D$4,$D$2)</f>
        <v>2.360922189597352</v>
      </c>
      <c r="E44" s="19" cm="1">
        <f t="array" ref="E44">delta_call(B44,C44,$D$1,$D$4,$D$2)</f>
        <v>0.66486669130658904</v>
      </c>
      <c r="F44" s="19" cm="1">
        <f t="array" ref="F44">vega_call_put(B44,C44,$D$1,$D$4,$D$2)</f>
        <v>7.1525390376254064E-2</v>
      </c>
      <c r="G44" s="19" cm="1">
        <f t="array" ref="G44">theta_call(B44,C44,$D$1,$D$4,$D$2)</f>
        <v>-0.99102736292247773</v>
      </c>
      <c r="H44" s="19" cm="1">
        <f t="array" ref="H44">rho_call(B44,C44,$D$1,$D$4,$D$2)</f>
        <v>0.11080495678243917</v>
      </c>
      <c r="I44" s="27" cm="1">
        <f t="array" ref="I44">gamma_call_put(B44,C44,$D$1,$D$4,$D$2)</f>
        <v>8.5421411324629909E-2</v>
      </c>
      <c r="J44" s="18" cm="1">
        <f t="array" ref="J44">BSM_put(B44,C44,$D$1,$D$4,$D$2)</f>
        <v>1.0763305561404695</v>
      </c>
      <c r="K44" s="20" cm="1">
        <f t="array" ref="K44">delta_put(B44,C44,$D$1,$D$4,$D$2)</f>
        <v>-0.33513330869341096</v>
      </c>
      <c r="L44" s="19" cm="1">
        <f t="array" ref="L44">vega_call_put(B44,C44,$D$1,$D$4,$D$2)</f>
        <v>7.1525390376254064E-2</v>
      </c>
      <c r="M44" s="19" cm="1">
        <f t="array" ref="M44">theta_put(B44,C44,$D$1,$D$4,$D$2)</f>
        <v>-0.50227592865927051</v>
      </c>
      <c r="N44" s="19" cm="1">
        <f t="array" ref="N44">rho_put(B44,C44,$D$1,$D$4,$D$2)</f>
        <v>-8.0719662794908928E-2</v>
      </c>
      <c r="O44" s="27" cm="1">
        <f t="array" ref="O44">gamma_call_put(B44,C44,$D$1,$D$4,$D$2)</f>
        <v>8.5421411324629909E-2</v>
      </c>
    </row>
    <row r="45" spans="1:16" x14ac:dyDescent="0.35">
      <c r="A45" s="12" t="s">
        <v>14</v>
      </c>
      <c r="B45" s="22">
        <v>17.274999999999999</v>
      </c>
      <c r="C45" s="19">
        <v>18</v>
      </c>
      <c r="D45" s="18" cm="1">
        <f t="array" ref="D45">BSM_call(B45,C45,$D$1,$D$4,$D$2)</f>
        <v>1.4849039375672441</v>
      </c>
      <c r="E45" s="19" cm="1">
        <f t="array" ref="E45">delta_call(B45,C45,$D$1,$D$4,$D$2)</f>
        <v>0.52717331956530811</v>
      </c>
      <c r="F45" s="19" cm="1">
        <f t="array" ref="F45">vega_call_put(B45,C45,$D$1,$D$4,$D$2)</f>
        <v>7.2022205641623663E-2</v>
      </c>
      <c r="G45" s="19" cm="1">
        <f t="array" ref="G45">theta_call(B45,C45,$D$1,$D$4,$D$2)</f>
        <v>-0.92660036150197489</v>
      </c>
      <c r="H45" s="19" cm="1">
        <f t="array" ref="H45">rho_call(B45,C45,$D$1,$D$4,$D$2)</f>
        <v>8.3630444093882331E-2</v>
      </c>
      <c r="I45" s="27" cm="1">
        <f t="array" ref="I45">gamma_call_put(B45,C45,$D$1,$D$4,$D$2)</f>
        <v>0.10122224936818727</v>
      </c>
      <c r="J45" s="18" cm="1">
        <f t="array" ref="J45">BSM_put(B45,C45,$D$1,$D$4,$D$2)</f>
        <v>1.6653123041103612</v>
      </c>
      <c r="K45" s="20" cm="1">
        <f t="array" ref="K45">delta_put(B45,C45,$D$1,$D$4,$D$2)</f>
        <v>-0.47282668043469189</v>
      </c>
      <c r="L45" s="19" cm="1">
        <f t="array" ref="L45">vega_call_put(B45,C45,$D$1,$D$4,$D$2)</f>
        <v>7.2022205641623663E-2</v>
      </c>
      <c r="M45" s="19" cm="1">
        <f t="array" ref="M45">theta_put(B45,C45,$D$1,$D$4,$D$2)</f>
        <v>-0.43784892723876767</v>
      </c>
      <c r="N45" s="19" cm="1">
        <f t="array" ref="N45">rho_put(B45,C45,$D$1,$D$4,$D$2)</f>
        <v>-0.10789417548346575</v>
      </c>
      <c r="O45" s="27" cm="1">
        <f t="array" ref="O45">gamma_call_put(B45,C45,$D$1,$D$4,$D$2)</f>
        <v>0.10122224936818727</v>
      </c>
    </row>
    <row r="46" spans="1:16" x14ac:dyDescent="0.35">
      <c r="A46" s="11" t="s">
        <v>15</v>
      </c>
      <c r="B46" s="21">
        <v>16.87</v>
      </c>
      <c r="C46" s="20">
        <v>16</v>
      </c>
      <c r="D46" s="18" cm="1">
        <f t="array" ref="D46">BSM_call(B46,C46,$D$1,$D$4,$D$2)</f>
        <v>2.2418344485250583</v>
      </c>
      <c r="E46" s="19" cm="1">
        <f t="array" ref="E46">delta_call(B46,C46,$D$1,$D$4,$D$2)</f>
        <v>0.68488390092146301</v>
      </c>
      <c r="F46" s="19" cm="1">
        <f t="array" ref="F46">vega_call_put(B46,C46,$D$1,$D$4,$D$2)</f>
        <v>6.2784066113251852E-2</v>
      </c>
      <c r="G46" s="19" cm="1">
        <f t="array" ref="G46">theta_call(B46,C46,$D$1,$D$4,$D$2)</f>
        <v>-0.88244570170429049</v>
      </c>
      <c r="H46" s="19" cm="1">
        <f t="array" ref="H46">rho_call(B46,C46,$D$1,$D$4,$D$2)</f>
        <v>0.10217505553355305</v>
      </c>
      <c r="I46" s="27" cm="1">
        <f t="array" ref="I46">gamma_call_put(B46,C46,$D$1,$D$4,$D$2)</f>
        <v>9.2526248155709492E-2</v>
      </c>
      <c r="J46" s="18" cm="1">
        <f t="array" ref="J46">BSM_put(B46,C46,$D$1,$D$4,$D$2)</f>
        <v>0.88775299656338236</v>
      </c>
      <c r="K46" s="20" cm="1">
        <f t="array" ref="K46">delta_put(B46,C46,$D$1,$D$4,$D$2)</f>
        <v>-0.31511609907853699</v>
      </c>
      <c r="L46" s="19" cm="1">
        <f t="array" ref="L46">vega_call_put(B46,C46,$D$1,$D$4,$D$2)</f>
        <v>6.2784066113251852E-2</v>
      </c>
      <c r="M46" s="19" cm="1">
        <f t="array" ref="M46">theta_put(B46,C46,$D$1,$D$4,$D$2)</f>
        <v>-0.44799998235921734</v>
      </c>
      <c r="N46" s="19" cm="1">
        <f t="array" ref="N46">rho_put(B46,C46,$D$1,$D$4,$D$2)</f>
        <v>-6.8069050757423033E-2</v>
      </c>
      <c r="O46" s="27" cm="1">
        <f t="array" ref="O46">gamma_call_put(B46,C46,$D$1,$D$4,$D$2)</f>
        <v>9.2526248155709492E-2</v>
      </c>
    </row>
    <row r="47" spans="1:16" x14ac:dyDescent="0.35">
      <c r="A47" s="11" t="s">
        <v>38</v>
      </c>
      <c r="B47" s="21">
        <v>6.3609999999999998</v>
      </c>
      <c r="C47" s="20">
        <v>6</v>
      </c>
      <c r="D47" s="18" cm="1">
        <f t="array" ref="D47">BSM_call(B47,C47,$D$1,$D$4,$D$2)</f>
        <v>0.86463575669487136</v>
      </c>
      <c r="E47" s="19" cm="1">
        <f t="array" ref="E47">delta_call(B47,C47,$D$1,$D$4,$D$2)</f>
        <v>0.69338437762182492</v>
      </c>
      <c r="F47" s="19" cm="1">
        <f t="array" ref="F47">vega_call_put(B47,C47,$D$1,$D$4,$D$2)</f>
        <v>2.3393889349663691E-2</v>
      </c>
      <c r="G47" s="19" cm="1">
        <f t="array" ref="G47">theta_call(B47,C47,$D$1,$D$4,$D$2)</f>
        <v>-0.33094031063637752</v>
      </c>
      <c r="H47" s="19" cm="1">
        <f t="array" ref="H47">rho_call(B47,C47,$D$1,$D$4,$D$2)</f>
        <v>3.8907305455450972E-2</v>
      </c>
      <c r="I47" s="27" cm="1">
        <f t="array" ref="I47">gamma_call_put(B47,C47,$D$1,$D$4,$D$2)</f>
        <v>0.2424919461858403</v>
      </c>
      <c r="J47" s="18" cm="1">
        <f t="array" ref="J47">BSM_put(B47,C47,$D$1,$D$4,$D$2)</f>
        <v>0.32210521220924349</v>
      </c>
      <c r="K47" s="20" cm="1">
        <f t="array" ref="K47">delta_put(B47,C47,$D$1,$D$4,$D$2)</f>
        <v>-0.30661562237817508</v>
      </c>
      <c r="L47" s="19" cm="1">
        <f t="array" ref="L47">vega_call_put(B47,C47,$D$1,$D$4,$D$2)</f>
        <v>2.3393889349663691E-2</v>
      </c>
      <c r="M47" s="19" cm="1">
        <f t="array" ref="M47">theta_put(B47,C47,$D$1,$D$4,$D$2)</f>
        <v>-0.16802316588197513</v>
      </c>
      <c r="N47" s="19" cm="1">
        <f t="array" ref="N47">rho_put(B47,C47,$D$1,$D$4,$D$2)</f>
        <v>-2.4934234403665056E-2</v>
      </c>
      <c r="O47" s="27" cm="1">
        <f t="array" ref="O47">gamma_call_put(B47,C47,$D$1,$D$4,$D$2)</f>
        <v>0.2424919461858403</v>
      </c>
    </row>
    <row r="48" spans="1:16" x14ac:dyDescent="0.35">
      <c r="A48" s="11"/>
      <c r="B48" s="21"/>
      <c r="C48" s="20"/>
      <c r="D48" s="20"/>
      <c r="E48" s="19"/>
      <c r="F48" s="19"/>
      <c r="G48" s="19"/>
      <c r="H48" s="19"/>
      <c r="I48" s="19"/>
      <c r="J48" s="20"/>
      <c r="K48" s="20"/>
      <c r="L48" s="20"/>
      <c r="M48" s="20"/>
      <c r="N48" s="20"/>
      <c r="O48" s="20"/>
      <c r="P48" s="23"/>
    </row>
    <row r="49" spans="1:10" ht="16" x14ac:dyDescent="0.4">
      <c r="A49" s="3"/>
    </row>
    <row r="50" spans="1:10" x14ac:dyDescent="0.35">
      <c r="A50" s="15" t="s">
        <v>57</v>
      </c>
      <c r="B50" s="16" t="s">
        <v>58</v>
      </c>
      <c r="J50"/>
    </row>
    <row r="51" spans="1:10" x14ac:dyDescent="0.35">
      <c r="A51" s="4" t="s">
        <v>51</v>
      </c>
      <c r="B51" s="5" t="s">
        <v>59</v>
      </c>
      <c r="J51"/>
    </row>
    <row r="52" spans="1:10" x14ac:dyDescent="0.35">
      <c r="A52" s="4" t="s">
        <v>52</v>
      </c>
      <c r="B52" s="5" t="s">
        <v>61</v>
      </c>
      <c r="J52"/>
    </row>
    <row r="53" spans="1:10" x14ac:dyDescent="0.35">
      <c r="A53" s="4" t="s">
        <v>53</v>
      </c>
      <c r="B53" s="5" t="s">
        <v>60</v>
      </c>
      <c r="J53"/>
    </row>
    <row r="54" spans="1:10" x14ac:dyDescent="0.35">
      <c r="A54" s="4" t="s">
        <v>54</v>
      </c>
      <c r="B54" s="5" t="s">
        <v>62</v>
      </c>
      <c r="J54"/>
    </row>
    <row r="55" spans="1:10" x14ac:dyDescent="0.35">
      <c r="A55" s="6" t="s">
        <v>55</v>
      </c>
      <c r="B55" s="7" t="s">
        <v>63</v>
      </c>
      <c r="J55"/>
    </row>
  </sheetData>
  <mergeCells count="2">
    <mergeCell ref="D6:I6"/>
    <mergeCell ref="J6:O6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Options CAC 40 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Mary-Melody MOREL</dc:creator>
  <cp:lastModifiedBy>Mary-Melody MOREL</cp:lastModifiedBy>
  <dcterms:created xsi:type="dcterms:W3CDTF">2026-05-20T14:32:52Z</dcterms:created>
  <dcterms:modified xsi:type="dcterms:W3CDTF">2026-06-10T10:07:50Z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ed5431-0ab7-4c1b-98f4-d4e50f674d02_Enabled">
    <vt:lpwstr>true</vt:lpwstr>
  </property>
  <property fmtid="{D5CDD505-2E9C-101B-9397-08002B2CF9AE}" pid="3" name="MSIP_Label_48ed5431-0ab7-4c1b-98f4-d4e50f674d02_SetDate">
    <vt:lpwstr>2026-06-01T10:04:16Z</vt:lpwstr>
  </property>
  <property fmtid="{D5CDD505-2E9C-101B-9397-08002B2CF9AE}" pid="4" name="MSIP_Label_48ed5431-0ab7-4c1b-98f4-d4e50f674d02_Method">
    <vt:lpwstr>Privileged</vt:lpwstr>
  </property>
  <property fmtid="{D5CDD505-2E9C-101B-9397-08002B2CF9AE}" pid="5" name="MSIP_Label_48ed5431-0ab7-4c1b-98f4-d4e50f674d02_Name">
    <vt:lpwstr>48ed5431-0ab7-4c1b-98f4-d4e50f674d02</vt:lpwstr>
  </property>
  <property fmtid="{D5CDD505-2E9C-101B-9397-08002B2CF9AE}" pid="6" name="MSIP_Label_48ed5431-0ab7-4c1b-98f4-d4e50f674d02_SiteId">
    <vt:lpwstr>614f9c25-bffa-42c7-86d8-964101f55fa2</vt:lpwstr>
  </property>
  <property fmtid="{D5CDD505-2E9C-101B-9397-08002B2CF9AE}" pid="7" name="MSIP_Label_48ed5431-0ab7-4c1b-98f4-d4e50f674d02_ActionId">
    <vt:lpwstr>2be91c81-1d08-49dd-a195-6bb888dfb5b5</vt:lpwstr>
  </property>
  <property fmtid="{D5CDD505-2E9C-101B-9397-08002B2CF9AE}" pid="8" name="MSIP_Label_48ed5431-0ab7-4c1b-98f4-d4e50f674d02_ContentBits">
    <vt:lpwstr>0</vt:lpwstr>
  </property>
  <property fmtid="{D5CDD505-2E9C-101B-9397-08002B2CF9AE}" pid="9" name="MSIP_Label_48ed5431-0ab7-4c1b-98f4-d4e50f674d02_Tag">
    <vt:lpwstr>10, 0, 1, 1</vt:lpwstr>
  </property>
</Properties>
</file>